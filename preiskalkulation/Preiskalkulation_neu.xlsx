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t01\source\repos\nest-haus\preiskalkulation\"/>
    </mc:Choice>
  </mc:AlternateContent>
  <xr:revisionPtr revIDLastSave="0" documentId="13_ncr:1_{9F55D027-4EC0-4215-8E78-0A9A6423CD1B}" xr6:coauthVersionLast="47" xr6:coauthVersionMax="47" xr10:uidLastSave="{00000000-0000-0000-0000-000000000000}"/>
  <bookViews>
    <workbookView xWindow="19110" yWindow="-9760" windowWidth="19380" windowHeight="20970" xr2:uid="{5CC58F37-0128-450E-8081-AE5F2D4C7F31}"/>
  </bookViews>
  <sheets>
    <sheet name="Preiskalkulation Zarnhof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8" i="1" l="1"/>
  <c r="C118" i="1"/>
  <c r="D114" i="1"/>
  <c r="C114" i="1"/>
  <c r="D110" i="1"/>
  <c r="C110" i="1"/>
  <c r="D106" i="1"/>
  <c r="C106" i="1"/>
  <c r="D102" i="1"/>
  <c r="C102" i="1"/>
  <c r="D98" i="1"/>
  <c r="C98" i="1"/>
  <c r="C97" i="1"/>
  <c r="D90" i="1"/>
  <c r="C90" i="1"/>
  <c r="C94" i="1"/>
  <c r="D94" i="1"/>
  <c r="D86" i="1"/>
  <c r="C86" i="1"/>
  <c r="F33" i="1"/>
  <c r="F38" i="1"/>
  <c r="G96" i="1"/>
  <c r="G100" i="1"/>
  <c r="G108" i="1"/>
  <c r="G110" i="1"/>
  <c r="F112" i="1"/>
  <c r="F116" i="1"/>
  <c r="E85" i="1"/>
  <c r="E120" i="1"/>
  <c r="E119" i="1"/>
  <c r="F119" i="1" s="1"/>
  <c r="E118" i="1"/>
  <c r="E117" i="1"/>
  <c r="E116" i="1"/>
  <c r="E115" i="1"/>
  <c r="F115" i="1" s="1"/>
  <c r="E114" i="1"/>
  <c r="E113" i="1"/>
  <c r="E112" i="1"/>
  <c r="E111" i="1"/>
  <c r="G111" i="1" s="1"/>
  <c r="E110" i="1"/>
  <c r="F110" i="1" s="1"/>
  <c r="E109" i="1"/>
  <c r="E108" i="1"/>
  <c r="E107" i="1"/>
  <c r="F107" i="1" s="1"/>
  <c r="E106" i="1"/>
  <c r="E105" i="1"/>
  <c r="E104" i="1"/>
  <c r="E103" i="1"/>
  <c r="G103" i="1" s="1"/>
  <c r="E102" i="1"/>
  <c r="E101" i="1"/>
  <c r="E100" i="1"/>
  <c r="F100" i="1" s="1"/>
  <c r="I100" i="1" s="1"/>
  <c r="E99" i="1"/>
  <c r="G99" i="1" s="1"/>
  <c r="E98" i="1"/>
  <c r="E97" i="1"/>
  <c r="E96" i="1"/>
  <c r="E95" i="1"/>
  <c r="F95" i="1" s="1"/>
  <c r="E94" i="1"/>
  <c r="E93" i="1"/>
  <c r="E92" i="1"/>
  <c r="E91" i="1"/>
  <c r="F91" i="1" s="1"/>
  <c r="E90" i="1"/>
  <c r="F90" i="1" s="1"/>
  <c r="E89" i="1"/>
  <c r="E88" i="1"/>
  <c r="G88" i="1" s="1"/>
  <c r="E87" i="1"/>
  <c r="F87" i="1" s="1"/>
  <c r="E86" i="1"/>
  <c r="F34" i="1"/>
  <c r="F35" i="1"/>
  <c r="F32" i="1"/>
  <c r="E31" i="1"/>
  <c r="E29" i="1"/>
  <c r="E28" i="1"/>
  <c r="F27" i="1"/>
  <c r="E26" i="1"/>
  <c r="E24" i="1"/>
  <c r="E23" i="1"/>
  <c r="F22" i="1"/>
  <c r="E21" i="1"/>
  <c r="E19" i="1"/>
  <c r="E18" i="1"/>
  <c r="F16" i="1"/>
  <c r="F15" i="1"/>
  <c r="F14" i="1"/>
  <c r="F13" i="1"/>
  <c r="F12" i="1"/>
  <c r="F11" i="1"/>
  <c r="F10" i="1"/>
  <c r="D113" i="1" s="1"/>
  <c r="F6" i="1"/>
  <c r="F114" i="1" l="1"/>
  <c r="L110" i="1"/>
  <c r="F102" i="1"/>
  <c r="F98" i="1"/>
  <c r="F86" i="1"/>
  <c r="G98" i="1"/>
  <c r="F103" i="1"/>
  <c r="L103" i="1" s="1"/>
  <c r="G87" i="1"/>
  <c r="L87" i="1" s="1"/>
  <c r="F99" i="1"/>
  <c r="H99" i="1" s="1"/>
  <c r="G86" i="1"/>
  <c r="H100" i="1"/>
  <c r="J110" i="1"/>
  <c r="L100" i="1"/>
  <c r="D89" i="1"/>
  <c r="D105" i="1"/>
  <c r="F111" i="1"/>
  <c r="I111" i="1" s="1"/>
  <c r="F88" i="1"/>
  <c r="J88" i="1" s="1"/>
  <c r="G112" i="1"/>
  <c r="J112" i="1" s="1"/>
  <c r="H95" i="1"/>
  <c r="K119" i="1"/>
  <c r="J119" i="1"/>
  <c r="L119" i="1"/>
  <c r="J103" i="1"/>
  <c r="I103" i="1"/>
  <c r="H103" i="1"/>
  <c r="I88" i="1"/>
  <c r="K103" i="1"/>
  <c r="G95" i="1"/>
  <c r="L95" i="1" s="1"/>
  <c r="D117" i="1"/>
  <c r="G120" i="1"/>
  <c r="J120" i="1" s="1"/>
  <c r="G107" i="1"/>
  <c r="L107" i="1" s="1"/>
  <c r="G94" i="1"/>
  <c r="D93" i="1"/>
  <c r="D85" i="1"/>
  <c r="F96" i="1"/>
  <c r="J96" i="1" s="1"/>
  <c r="G119" i="1"/>
  <c r="I119" i="1" s="1"/>
  <c r="G106" i="1"/>
  <c r="G92" i="1"/>
  <c r="H112" i="1"/>
  <c r="H88" i="1"/>
  <c r="I112" i="1"/>
  <c r="J100" i="1"/>
  <c r="K100" i="1"/>
  <c r="K88" i="1"/>
  <c r="L88" i="1"/>
  <c r="F108" i="1"/>
  <c r="K108" i="1" s="1"/>
  <c r="G118" i="1"/>
  <c r="H118" i="1" s="1"/>
  <c r="G104" i="1"/>
  <c r="G91" i="1"/>
  <c r="H91" i="1" s="1"/>
  <c r="C109" i="1"/>
  <c r="F109" i="1" s="1"/>
  <c r="H111" i="1"/>
  <c r="I99" i="1"/>
  <c r="J111" i="1"/>
  <c r="J99" i="1"/>
  <c r="J87" i="1"/>
  <c r="K111" i="1"/>
  <c r="K99" i="1"/>
  <c r="K87" i="1"/>
  <c r="L111" i="1"/>
  <c r="D97" i="1"/>
  <c r="F94" i="1"/>
  <c r="G90" i="1"/>
  <c r="J90" i="1" s="1"/>
  <c r="D109" i="1"/>
  <c r="H110" i="1"/>
  <c r="I110" i="1"/>
  <c r="K110" i="1"/>
  <c r="F120" i="1"/>
  <c r="F106" i="1"/>
  <c r="F92" i="1"/>
  <c r="I92" i="1" s="1"/>
  <c r="G116" i="1"/>
  <c r="H116" i="1" s="1"/>
  <c r="G102" i="1"/>
  <c r="J102" i="1" s="1"/>
  <c r="F104" i="1"/>
  <c r="H104" i="1" s="1"/>
  <c r="G115" i="1"/>
  <c r="K115" i="1" s="1"/>
  <c r="D101" i="1"/>
  <c r="I96" i="1"/>
  <c r="J108" i="1"/>
  <c r="K96" i="1"/>
  <c r="F118" i="1"/>
  <c r="G114" i="1"/>
  <c r="F25" i="1"/>
  <c r="C89" i="1" s="1"/>
  <c r="F20" i="1"/>
  <c r="C85" i="1" s="1"/>
  <c r="F30" i="1"/>
  <c r="C93" i="1" s="1"/>
  <c r="F93" i="1" s="1"/>
  <c r="L118" i="1" l="1"/>
  <c r="J114" i="1"/>
  <c r="K106" i="1"/>
  <c r="J98" i="1"/>
  <c r="I98" i="1"/>
  <c r="H98" i="1"/>
  <c r="K98" i="1"/>
  <c r="I94" i="1"/>
  <c r="H94" i="1"/>
  <c r="H90" i="1"/>
  <c r="I90" i="1"/>
  <c r="I86" i="1"/>
  <c r="L86" i="1"/>
  <c r="H86" i="1"/>
  <c r="I95" i="1"/>
  <c r="L96" i="1"/>
  <c r="L99" i="1"/>
  <c r="G109" i="1"/>
  <c r="G97" i="1"/>
  <c r="I116" i="1"/>
  <c r="I87" i="1"/>
  <c r="L91" i="1"/>
  <c r="I115" i="1"/>
  <c r="I104" i="1"/>
  <c r="K86" i="1"/>
  <c r="I108" i="1"/>
  <c r="I91" i="1"/>
  <c r="L112" i="1"/>
  <c r="L120" i="1"/>
  <c r="K91" i="1"/>
  <c r="H96" i="1"/>
  <c r="J91" i="1"/>
  <c r="I106" i="1"/>
  <c r="H108" i="1"/>
  <c r="J86" i="1"/>
  <c r="H87" i="1"/>
  <c r="K112" i="1"/>
  <c r="K94" i="1"/>
  <c r="L104" i="1"/>
  <c r="H119" i="1"/>
  <c r="L98" i="1"/>
  <c r="J115" i="1"/>
  <c r="H115" i="1"/>
  <c r="I114" i="1"/>
  <c r="J104" i="1"/>
  <c r="H92" i="1"/>
  <c r="L106" i="1"/>
  <c r="L94" i="1"/>
  <c r="I118" i="1"/>
  <c r="L115" i="1"/>
  <c r="F89" i="1"/>
  <c r="G89" i="1"/>
  <c r="H89" i="1"/>
  <c r="L89" i="1"/>
  <c r="I89" i="1"/>
  <c r="J89" i="1"/>
  <c r="L116" i="1"/>
  <c r="L109" i="1"/>
  <c r="K109" i="1"/>
  <c r="J109" i="1"/>
  <c r="I109" i="1"/>
  <c r="H109" i="1"/>
  <c r="C113" i="1"/>
  <c r="L90" i="1"/>
  <c r="J95" i="1"/>
  <c r="K107" i="1"/>
  <c r="L92" i="1"/>
  <c r="K92" i="1"/>
  <c r="K116" i="1"/>
  <c r="J94" i="1"/>
  <c r="K102" i="1"/>
  <c r="K95" i="1"/>
  <c r="I107" i="1"/>
  <c r="G93" i="1"/>
  <c r="I93" i="1" s="1"/>
  <c r="H106" i="1"/>
  <c r="I120" i="1"/>
  <c r="H102" i="1"/>
  <c r="H114" i="1"/>
  <c r="J107" i="1"/>
  <c r="J106" i="1"/>
  <c r="J92" i="1"/>
  <c r="L114" i="1"/>
  <c r="H107" i="1"/>
  <c r="K90" i="1"/>
  <c r="J116" i="1"/>
  <c r="K120" i="1"/>
  <c r="K114" i="1"/>
  <c r="I85" i="1"/>
  <c r="L108" i="1"/>
  <c r="I102" i="1"/>
  <c r="K104" i="1"/>
  <c r="H120" i="1"/>
  <c r="K118" i="1"/>
  <c r="L102" i="1"/>
  <c r="C117" i="1"/>
  <c r="C105" i="1"/>
  <c r="J118" i="1"/>
  <c r="G85" i="1"/>
  <c r="H85" i="1" s="1"/>
  <c r="P84" i="1"/>
  <c r="O84" i="1"/>
  <c r="F85" i="1"/>
  <c r="C101" i="1"/>
  <c r="K85" i="1" l="1"/>
  <c r="H93" i="1"/>
  <c r="J85" i="1"/>
  <c r="L85" i="1"/>
  <c r="J93" i="1"/>
  <c r="K93" i="1"/>
  <c r="F97" i="1"/>
  <c r="H97" i="1" s="1"/>
  <c r="L93" i="1"/>
  <c r="K89" i="1"/>
  <c r="L97" i="1"/>
  <c r="F117" i="1"/>
  <c r="G117" i="1"/>
  <c r="H117" i="1"/>
  <c r="F101" i="1"/>
  <c r="G101" i="1"/>
  <c r="L101" i="1"/>
  <c r="K117" i="1"/>
  <c r="J117" i="1"/>
  <c r="K101" i="1"/>
  <c r="O86" i="1"/>
  <c r="O85" i="1"/>
  <c r="O87" i="1" s="1"/>
  <c r="O88" i="1" s="1"/>
  <c r="P85" i="1"/>
  <c r="P86" i="1"/>
  <c r="L117" i="1"/>
  <c r="G113" i="1"/>
  <c r="F113" i="1"/>
  <c r="K113" i="1" s="1"/>
  <c r="H113" i="1"/>
  <c r="L113" i="1"/>
  <c r="G105" i="1"/>
  <c r="F105" i="1"/>
  <c r="J97" i="1" l="1"/>
  <c r="I97" i="1"/>
  <c r="I105" i="1"/>
  <c r="P87" i="1"/>
  <c r="P88" i="1" s="1"/>
  <c r="I117" i="1"/>
  <c r="K97" i="1"/>
  <c r="L105" i="1"/>
  <c r="H101" i="1"/>
  <c r="J101" i="1"/>
  <c r="I101" i="1"/>
  <c r="K105" i="1"/>
  <c r="H105" i="1"/>
  <c r="J105" i="1"/>
  <c r="I113" i="1"/>
  <c r="J113" i="1"/>
</calcChain>
</file>

<file path=xl/sharedStrings.xml><?xml version="1.0" encoding="utf-8"?>
<sst xmlns="http://schemas.openxmlformats.org/spreadsheetml/2006/main" count="224" uniqueCount="221">
  <si>
    <t>Preiskalkulation</t>
  </si>
  <si>
    <t>2.1</t>
  </si>
  <si>
    <t>2.2</t>
  </si>
  <si>
    <t>2.3</t>
  </si>
  <si>
    <t>Modulpreis</t>
  </si>
  <si>
    <t>2</t>
  </si>
  <si>
    <t>Beschreibung</t>
  </si>
  <si>
    <t>1.4</t>
  </si>
  <si>
    <t>Montage</t>
  </si>
  <si>
    <t>Modul offen</t>
  </si>
  <si>
    <t>Bodenplatte o.</t>
  </si>
  <si>
    <t>Wandplatte 2x o.</t>
  </si>
  <si>
    <t>Dachplatte 2x o.</t>
  </si>
  <si>
    <t>3.1</t>
  </si>
  <si>
    <t>Bodenplatte g.</t>
  </si>
  <si>
    <t>3.2</t>
  </si>
  <si>
    <t>Wandplatte 2x g.</t>
  </si>
  <si>
    <t>Dachplatte 2x g.</t>
  </si>
  <si>
    <t>3.3</t>
  </si>
  <si>
    <t>3</t>
  </si>
  <si>
    <t>Modul geschlossen</t>
  </si>
  <si>
    <t>4.1</t>
  </si>
  <si>
    <t>4.2</t>
  </si>
  <si>
    <t>m²/Modul</t>
  </si>
  <si>
    <t>Lärchenlattung o.</t>
  </si>
  <si>
    <t>Lärchenlattung g.</t>
  </si>
  <si>
    <t>Max ExteriorCompact o.</t>
  </si>
  <si>
    <t>Max ExteriorCompact g.</t>
  </si>
  <si>
    <t>Anmerkungen</t>
  </si>
  <si>
    <t>4.3</t>
  </si>
  <si>
    <t>4.2 ohne Trapezblech o.</t>
  </si>
  <si>
    <t>Ersparnis bei Fassadenplatten</t>
  </si>
  <si>
    <t>""</t>
  </si>
  <si>
    <t>4.4</t>
  </si>
  <si>
    <t>Kamindurchbruch</t>
  </si>
  <si>
    <t>Gesamtpreis</t>
  </si>
  <si>
    <t>4.5</t>
  </si>
  <si>
    <t>Innenverkleidung Dach Fichte o.</t>
  </si>
  <si>
    <t>4.6</t>
  </si>
  <si>
    <t>Innenverkleidung Wand Fichte o.</t>
  </si>
  <si>
    <t>Innenverkleidung Fichte o.</t>
  </si>
  <si>
    <t>4.2 ohne Trapezblech g.</t>
  </si>
  <si>
    <t>4.7</t>
  </si>
  <si>
    <t>Innenverkleidung Fichte g.</t>
  </si>
  <si>
    <t>Innenv. Fichte Abschlusswand</t>
  </si>
  <si>
    <t>ergibt im alten xsl 5593,92</t>
  </si>
  <si>
    <t>Innenverkleidung Dach Lärche o.</t>
  </si>
  <si>
    <t>Innenverkleidung Wand Lärche o.</t>
  </si>
  <si>
    <t>Innenverkleidung Lärche o.</t>
  </si>
  <si>
    <t>Innenv. Lärche Abschlusswand</t>
  </si>
  <si>
    <t>Innenverkleidung Lärche g.</t>
  </si>
  <si>
    <t>4.8</t>
  </si>
  <si>
    <t>4.9</t>
  </si>
  <si>
    <t>Innenverkleidung Dach Eiche o.</t>
  </si>
  <si>
    <t>4.10</t>
  </si>
  <si>
    <t>Innenverkleidung Wand Eiche o.</t>
  </si>
  <si>
    <t>Innenverkleidung Eiche o.</t>
  </si>
  <si>
    <t>Innenv. Eiche Abschlusswand</t>
  </si>
  <si>
    <t>Innenverkleidung Eiche g.</t>
  </si>
  <si>
    <t>4.11</t>
  </si>
  <si>
    <t>altes xsl: 7808,52</t>
  </si>
  <si>
    <t>altes xsl: 6545,45</t>
  </si>
  <si>
    <t>Elektr. Fußbodenheizung</t>
  </si>
  <si>
    <t>4.12</t>
  </si>
  <si>
    <t>4.13</t>
  </si>
  <si>
    <t>Leitungsdurchbruch Boden</t>
  </si>
  <si>
    <t>4.14</t>
  </si>
  <si>
    <t>Geschossdecke</t>
  </si>
  <si>
    <t>4.15</t>
  </si>
  <si>
    <t>Leerverrohrung für PV Anlage</t>
  </si>
  <si>
    <t>4.16</t>
  </si>
  <si>
    <t>Aufzahlung Zugstange Edelstahl</t>
  </si>
  <si>
    <t>wird ausgelassen?</t>
  </si>
  <si>
    <t>4.17</t>
  </si>
  <si>
    <t>Aufzahlung Zugstange verzinkt</t>
  </si>
  <si>
    <t>5.1</t>
  </si>
  <si>
    <t>5.2</t>
  </si>
  <si>
    <t xml:space="preserve">     </t>
  </si>
  <si>
    <t>5.3</t>
  </si>
  <si>
    <t>5.4</t>
  </si>
  <si>
    <t>2000 x 2000 Fixverglasung</t>
  </si>
  <si>
    <t>5.5</t>
  </si>
  <si>
    <t>5.6</t>
  </si>
  <si>
    <t>Holz Haustür</t>
  </si>
  <si>
    <t>6.1</t>
  </si>
  <si>
    <t>3750 x 2350 Hebeschiebetür Holz</t>
  </si>
  <si>
    <t>800 x 800 Fenster Titan</t>
  </si>
  <si>
    <t>1400 x 1400 Fenster Titan</t>
  </si>
  <si>
    <t>800 x 800 Fenster Weiß</t>
  </si>
  <si>
    <t>1400 x 1400 Fenster Weiß</t>
  </si>
  <si>
    <t>6.2</t>
  </si>
  <si>
    <t>6.3</t>
  </si>
  <si>
    <t>2000 x 2000 Fixverglasung Weiß</t>
  </si>
  <si>
    <t>6.4</t>
  </si>
  <si>
    <t>6.5</t>
  </si>
  <si>
    <t>950 x 2100 Fenstertür Holz</t>
  </si>
  <si>
    <t>950 x 2100 Fenstertür Weiß</t>
  </si>
  <si>
    <t>6.6</t>
  </si>
  <si>
    <t>Haustür (s.o. 5.6)</t>
  </si>
  <si>
    <t>7.1</t>
  </si>
  <si>
    <t>7.2</t>
  </si>
  <si>
    <t>7.3</t>
  </si>
  <si>
    <t>7.4</t>
  </si>
  <si>
    <t>Fenster Holz 0-1m² Flügelig</t>
  </si>
  <si>
    <t>Fenster Holz 1-2m² Flügelig</t>
  </si>
  <si>
    <t>Fenster Holz 2-4m² Flügelig</t>
  </si>
  <si>
    <t>Fenster Holz 2-4m² Fixverglasung</t>
  </si>
  <si>
    <t>7.5</t>
  </si>
  <si>
    <t>7.6</t>
  </si>
  <si>
    <t>Holz Haustür 105 x 210 cm</t>
  </si>
  <si>
    <t>375 x 235 cm Hebeschiebetür Holz</t>
  </si>
  <si>
    <t>3750 x 2350 Hebeschiebetür HST</t>
  </si>
  <si>
    <t>200 x 200 cm Hebeschiebetür Holz</t>
  </si>
  <si>
    <t>7.7</t>
  </si>
  <si>
    <t>8.1</t>
  </si>
  <si>
    <t>8.2</t>
  </si>
  <si>
    <t>8.3</t>
  </si>
  <si>
    <t>Fenster Holz-Alu 0-1m² Flügelig</t>
  </si>
  <si>
    <t>Fenster Holz-Alu 1-2m² Flügelig</t>
  </si>
  <si>
    <t>Fenster Holz-Alu 2-4m² Flügelig</t>
  </si>
  <si>
    <t>Fenster Holz-Alu 2-4m² Fixverglasung</t>
  </si>
  <si>
    <t>8.4</t>
  </si>
  <si>
    <t>8.5</t>
  </si>
  <si>
    <t>Holz-Alu Haustür 105 x 210 cm</t>
  </si>
  <si>
    <t>8.6</t>
  </si>
  <si>
    <t>8.7</t>
  </si>
  <si>
    <t>375 x 235 cm Hebeschiebetür Holz-Alu</t>
  </si>
  <si>
    <t>200 x 200 cm Hebeschiebetür Holz-Alu</t>
  </si>
  <si>
    <t>9.1</t>
  </si>
  <si>
    <t>9.2</t>
  </si>
  <si>
    <t>9.3</t>
  </si>
  <si>
    <t>9.4</t>
  </si>
  <si>
    <t>9.5</t>
  </si>
  <si>
    <t>9.6</t>
  </si>
  <si>
    <t>9.7</t>
  </si>
  <si>
    <t>Fenster Kunststoff 1-2m² Flügelig</t>
  </si>
  <si>
    <t>Fenster Kunststoff 2-4m² Flügelig</t>
  </si>
  <si>
    <t>Fenster Kunststoff 2-4m² Fixverglasung</t>
  </si>
  <si>
    <t>Kunststoff Haustür 105 x 210 cm</t>
  </si>
  <si>
    <t>375 x 235 cm Hebeschiebetür Kunststoff</t>
  </si>
  <si>
    <t>200 x 200 cm Hebeschiebetür Kunststoff</t>
  </si>
  <si>
    <t>Fenster Kunststoff 0-1m² Flügelig</t>
  </si>
  <si>
    <t>10.1</t>
  </si>
  <si>
    <t>10.2</t>
  </si>
  <si>
    <t>PV-Modul 8 Stk</t>
  </si>
  <si>
    <t>pro Dachelement = pro Modul?</t>
  </si>
  <si>
    <t>Wechselrichter</t>
  </si>
  <si>
    <t>à 2 Dache. , bei größeren Analgen  €x2</t>
  </si>
  <si>
    <t>Spalte1</t>
  </si>
  <si>
    <t>Spalte2</t>
  </si>
  <si>
    <t>Einzelpreis m²</t>
  </si>
  <si>
    <t>Einzelpreis/Einheit</t>
  </si>
  <si>
    <t>10.3</t>
  </si>
  <si>
    <t>Fundament</t>
  </si>
  <si>
    <t>Trapezblech</t>
  </si>
  <si>
    <t>Holzlattung Lärche</t>
  </si>
  <si>
    <t>Trapezblech, Fichte, Ohne Belag</t>
  </si>
  <si>
    <t>Trapezblech, Fichte, Eiche</t>
  </si>
  <si>
    <t>Trapezblech, Fichte, Steinbelag Hell</t>
  </si>
  <si>
    <t>Trapezblech, Fichte, Steinbelag Dunkel</t>
  </si>
  <si>
    <t>Holzlattung Lärche, Fichte, Ohne Belag</t>
  </si>
  <si>
    <t>Holzlattung Lärche, Fichte, Eiche</t>
  </si>
  <si>
    <t>Holzlattung Lärche, Fichte, Steinbelag Hell</t>
  </si>
  <si>
    <t>Holzlattung Lärche, Fichte, Steinbelag Dunkel</t>
  </si>
  <si>
    <t>Trapezblech, Lärche, Ohne Belag</t>
  </si>
  <si>
    <t>Trapezblech, Lärche, Eiche</t>
  </si>
  <si>
    <t>Trapezblech, Lärche, Steinbelag Hell</t>
  </si>
  <si>
    <t>Trapezblech, Lärche, Steinbelag Dunkel</t>
  </si>
  <si>
    <t>Trapezblech, Eiche, Ohne Belag</t>
  </si>
  <si>
    <t>Trapezblech, Eiche, Eiche</t>
  </si>
  <si>
    <t>Trapezblech, Eiche, Steinbelag Hell</t>
  </si>
  <si>
    <t>Trapezblech, Eiche, Steinbelag Dunkel</t>
  </si>
  <si>
    <t>Holzlattung Lärche, Lärche, Ohne Belag</t>
  </si>
  <si>
    <t>Holzlattung Lärche, Lärche, Eiche</t>
  </si>
  <si>
    <t>Holzlattung Lärche, Lärche, Steinbelag Hell</t>
  </si>
  <si>
    <t>Holzlattung Lärche, Lärche, Steinbelag Dunkel</t>
  </si>
  <si>
    <t>Holzlattung Lärche, Eiche, Eiche</t>
  </si>
  <si>
    <t>Holzlattung Lärche, Eiche, Steinbelag Hell</t>
  </si>
  <si>
    <t>Holzlattung Lärche, Eiche, Steinbelag Dunkel</t>
  </si>
  <si>
    <t>Holzlattung Lärche, Eiche, Ohne Belag</t>
  </si>
  <si>
    <t>Fassadenplatten</t>
  </si>
  <si>
    <t>Fassadenplatten, Fichte, Ohne Belag</t>
  </si>
  <si>
    <t>Fassadenplatten, Fichte, Eiche</t>
  </si>
  <si>
    <t>Fassadenplatten, Fichte, Steinbelag Hell</t>
  </si>
  <si>
    <t>Fassadenplatten, Fichte, Steinbelag Dunkel</t>
  </si>
  <si>
    <t>Fassadenplatten, Lärche, Ohne Belag</t>
  </si>
  <si>
    <t>Fassadenplatten, Lärche, Eiche</t>
  </si>
  <si>
    <t>Fassadenplatten, Lärche, Steinbelag Hell</t>
  </si>
  <si>
    <t>Fassadenplatten, Lärche, Steinbelag Dunkel</t>
  </si>
  <si>
    <t>Fassadenplatten, Eiche, Ohne Belag</t>
  </si>
  <si>
    <t>Fassadenplatten, Eiche, Eiche</t>
  </si>
  <si>
    <t>Fassadenplatten, Eiche, Steinbelag Hell</t>
  </si>
  <si>
    <t>Fassadenplatten, Eiche, Steinbelag Dunkel</t>
  </si>
  <si>
    <t>Gebäudehülle</t>
  </si>
  <si>
    <t>Kombination Hülle, Innenv., Bodenb.</t>
  </si>
  <si>
    <t>Wassergef. Fußbodenheizung</t>
  </si>
  <si>
    <t>Eichenparkett?</t>
  </si>
  <si>
    <t>Mittelmodul</t>
  </si>
  <si>
    <t>Abschlussmodul</t>
  </si>
  <si>
    <t>NEST 80</t>
  </si>
  <si>
    <t>NEST 100</t>
  </si>
  <si>
    <t>NEST 120</t>
  </si>
  <si>
    <t>NEST 140</t>
  </si>
  <si>
    <t>NEST 160</t>
  </si>
  <si>
    <t>UST 20%</t>
  </si>
  <si>
    <t>Zuschlag Gew.</t>
  </si>
  <si>
    <t>Ust 20%</t>
  </si>
  <si>
    <t>10.4</t>
  </si>
  <si>
    <t>Steinbelag Hell</t>
  </si>
  <si>
    <t>10.5</t>
  </si>
  <si>
    <t>Steinbelag Dunkel</t>
  </si>
  <si>
    <t>Verkaufspreis</t>
  </si>
  <si>
    <t>Gesamt</t>
  </si>
  <si>
    <t>Gewinnz. 10%</t>
  </si>
  <si>
    <t>Basispreis Nest80:</t>
  </si>
  <si>
    <t>Zusatzkosten/Modul</t>
  </si>
  <si>
    <t>ohne Geschossd.</t>
  </si>
  <si>
    <t>pro m²</t>
  </si>
  <si>
    <t>Geschossdecke Parkett</t>
  </si>
  <si>
    <t>altes xsl: 2192,48</t>
  </si>
  <si>
    <t>Parkett Eiche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</si>
</sst>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49" fontId="0" fillId="0" borderId="0" xfId="0" applyNumberFormat="1"/>
    <xf numFmtId="49" fontId="0" fillId="0" borderId="0" xfId="0" applyNumberFormat="1" applyFont="1"/>
    <xf numFmtId="4" fontId="0" fillId="0" borderId="0" xfId="0" applyNumberFormat="1"/>
    <xf numFmtId="4" fontId="0" fillId="0" borderId="0" xfId="0" applyNumberFormat="1" applyFont="1"/>
    <xf numFmtId="4" fontId="2" fillId="0" borderId="0" xfId="0" applyNumberFormat="1" applyFont="1"/>
    <xf numFmtId="4" fontId="3" fillId="0" borderId="0" xfId="0" applyNumberFormat="1" applyFont="1"/>
    <xf numFmtId="4" fontId="4" fillId="0" borderId="0" xfId="0" applyNumberFormat="1" applyFont="1"/>
    <xf numFmtId="49" fontId="0" fillId="2" borderId="0" xfId="0" applyNumberFormat="1" applyFill="1"/>
    <xf numFmtId="4" fontId="0" fillId="2" borderId="0" xfId="0" applyNumberFormat="1" applyFill="1"/>
    <xf numFmtId="49" fontId="2" fillId="0" borderId="0" xfId="0" applyNumberFormat="1" applyFont="1"/>
    <xf numFmtId="49" fontId="0" fillId="3" borderId="0" xfId="0" applyNumberFormat="1" applyFill="1"/>
    <xf numFmtId="4" fontId="0" fillId="3" borderId="0" xfId="0" applyNumberFormat="1" applyFill="1"/>
    <xf numFmtId="49" fontId="0" fillId="4" borderId="0" xfId="0" applyNumberFormat="1" applyFill="1"/>
    <xf numFmtId="4" fontId="0" fillId="4" borderId="0" xfId="0" applyNumberFormat="1" applyFill="1"/>
    <xf numFmtId="49" fontId="0" fillId="5" borderId="0" xfId="0" applyNumberFormat="1" applyFill="1"/>
    <xf numFmtId="4" fontId="0" fillId="5" borderId="0" xfId="0" applyNumberFormat="1" applyFill="1"/>
    <xf numFmtId="49" fontId="0" fillId="6" borderId="0" xfId="0" applyNumberFormat="1" applyFill="1"/>
    <xf numFmtId="4" fontId="0" fillId="6" borderId="0" xfId="0" applyNumberFormat="1" applyFill="1"/>
    <xf numFmtId="49" fontId="3" fillId="0" borderId="0" xfId="0" applyNumberFormat="1" applyFont="1"/>
    <xf numFmtId="49" fontId="0" fillId="0" borderId="0" xfId="0" applyNumberFormat="1" applyFill="1"/>
    <xf numFmtId="4" fontId="0" fillId="0" borderId="0" xfId="0" applyNumberFormat="1" applyFill="1"/>
    <xf numFmtId="4" fontId="5" fillId="0" borderId="0" xfId="0" applyNumberFormat="1" applyFont="1"/>
  </cellXfs>
  <cellStyles count="1">
    <cellStyle name="Standard" xfId="0" builtinId="0"/>
  </cellStyles>
  <dxfs count="26">
    <dxf>
      <numFmt numFmtId="0" formatCode="General"/>
    </dxf>
    <dxf>
      <numFmt numFmtId="0" formatCode="General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BD1B5-50FA-4F58-8A9A-4701B499671D}" name="Tabelle1" displayName="Tabelle1" ref="A1:M82" totalsRowShown="0">
  <autoFilter ref="A1:M82" xr:uid="{2BFBD1B5-50FA-4F58-8A9A-4701B499671D}"/>
  <tableColumns count="13">
    <tableColumn id="1" xr3:uid="{804CA334-FA10-447C-A09B-A78991FCA8B6}" name="Preiskalkulation" dataDxfId="25"/>
    <tableColumn id="2" xr3:uid="{D4477554-84AA-466D-BE89-525FCD624D3D}" name="Beschreibung" dataDxfId="24"/>
    <tableColumn id="3" xr3:uid="{EFDF22F1-CB18-4F9B-BD69-6B9C1427FD5D}" name="Einzelpreis m²" dataDxfId="23"/>
    <tableColumn id="4" xr3:uid="{F6F374AD-2E2E-42BA-B3EC-B359EFBC5154}" name="m²/Modul" dataDxfId="22"/>
    <tableColumn id="5" xr3:uid="{AC8D7BBD-ED49-424B-AF6B-40DE819E8F8F}" name="Einzelpreis/Einheit" dataDxfId="21"/>
    <tableColumn id="6" xr3:uid="{CC2CD745-C5F7-412F-9CE5-96D513956DFA}" name="Modulpreis" dataDxfId="20"/>
    <tableColumn id="7" xr3:uid="{8F558D9A-2FCF-4C41-92A8-0CE17CB734E2}" name="Gesamtpreis" dataDxfId="19"/>
    <tableColumn id="9" xr3:uid="{9D5FE782-5501-476E-A2D9-AD209A5D9F6C}" name="Ust 20%" dataDxfId="14"/>
    <tableColumn id="10" xr3:uid="{4A6C5906-3676-439B-B79D-D63A99F65594}" name="Zuschlag Gew." dataDxfId="13"/>
    <tableColumn id="13" xr3:uid="{98EBC627-68C2-4F22-A158-B0C3523D60A7}" name="Verkaufspreis" dataDxfId="10"/>
    <tableColumn id="8" xr3:uid="{08EF86D8-E1F4-4FE4-9F50-6800513B05A7}" name="Anmerkungen" dataDxfId="18"/>
    <tableColumn id="11" xr3:uid="{1E60A0C9-5446-4337-8959-0B52E71A3E3A}" name="Spalte1" dataDxfId="12"/>
    <tableColumn id="12" xr3:uid="{9EF01411-BE1C-403A-8F84-6D69609A34AE}" name="Spalte2" dataDxfId="1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1A614D-A764-48AB-BBEB-F7AA9FE00D10}" name="Tabelle2" displayName="Tabelle2" ref="A84:L120" totalsRowShown="0" headerRowDxfId="15">
  <autoFilter ref="A84:L120" xr:uid="{311A614D-A764-48AB-BBEB-F7AA9FE00D10}"/>
  <tableColumns count="12">
    <tableColumn id="1" xr3:uid="{33BB18F3-BF03-4681-BBBC-6815896D3F7A}" name="Gebäudehülle" dataDxfId="17"/>
    <tableColumn id="2" xr3:uid="{9CA0B145-8116-454B-B6EE-F6B17BEE6EFB}" name="Kombination Hülle, Innenv., Bodenb." dataDxfId="16"/>
    <tableColumn id="3" xr3:uid="{34F5C40F-B6DE-405B-821A-D9E997FECD4F}" name="Mittelmodul" dataDxfId="9">
      <calculatedColumnFormula>F5+F19</calculatedColumnFormula>
    </tableColumn>
    <tableColumn id="4" xr3:uid="{D464A560-F184-4681-95CA-AC5A01661713}" name="Abschlussmodul" dataDxfId="8">
      <calculatedColumnFormula>F9+F21</calculatedColumnFormula>
    </tableColumn>
    <tableColumn id="10" xr3:uid="{F32E1192-CD42-4A93-AC1A-A81C3C2C0DAC}" name="Zusatzkosten/Modul" dataDxfId="7">
      <calculatedColumnFormula>F1</calculatedColumnFormula>
    </tableColumn>
    <tableColumn id="11" xr3:uid="{BDE57BB5-6F1B-49D3-A101-1A68E9A11DB9}" name="UST 20%" dataDxfId="6">
      <calculatedColumnFormula>(Tabelle2[[#This Row],[Mittelmodul]]+Tabelle2[[#This Row],[Abschlussmodul]]+Tabelle2[[#This Row],[Zusatzkosten/Modul]])*20/100</calculatedColumnFormula>
    </tableColumn>
    <tableColumn id="12" xr3:uid="{C4CEB4A4-2349-4BC4-A3FD-9B4469709222}" name="Zuschlag Gew." dataDxfId="5">
      <calculatedColumnFormula>(Tabelle2[[#This Row],[Mittelmodul]]+Tabelle2[[#This Row],[Abschlussmodul]]+Tabelle2[[#This Row],[Zusatzkosten/Modul]])*10/100</calculatedColumnFormula>
    </tableColumn>
    <tableColumn id="5" xr3:uid="{68324137-383F-4E9C-B9F4-4AD5CCCBB9B3}" name="NEST 80" dataDxfId="4">
      <calculatedColumnFormula>(2*Tabelle2[[#This Row],[Abschlussmodul]])+(2*Tabelle2[[#This Row],[Mittelmodul]])+(4*Tabelle2[[#This Row],[Zusatzkosten/Modul]])+Tabelle2[[#This Row],[UST 20%]]+Tabelle2[[#This Row],[Zuschlag Gew.]]</calculatedColumnFormula>
    </tableColumn>
    <tableColumn id="6" xr3:uid="{F56EE166-1785-49D9-B05B-3BD824759430}" name="NEST 100" dataDxfId="3">
      <calculatedColumnFormula>(2*Tabelle2[[#This Row],[Abschlussmodul]])+(3*Tabelle2[[#This Row],[Mittelmodul]])+(5*Tabelle2[[#This Row],[Zusatzkosten/Modul]])+Tabelle2[[#This Row],[UST 20%]]+Tabelle2[[#This Row],[Zuschlag Gew.]]</calculatedColumnFormula>
    </tableColumn>
    <tableColumn id="7" xr3:uid="{706F3E3C-AEE5-4006-B083-F5C3053D4FE8}" name="NEST 120" dataDxfId="2">
      <calculatedColumnFormula>(2*Tabelle2[[#This Row],[Abschlussmodul]])+(4*Tabelle2[[#This Row],[Mittelmodul]])+(6*Tabelle2[[#This Row],[Zusatzkosten/Modul]])+Tabelle2[[#This Row],[UST 20%]]+Tabelle2[[#This Row],[Zuschlag Gew.]]</calculatedColumnFormula>
    </tableColumn>
    <tableColumn id="8" xr3:uid="{9CA6F6BB-AE48-4606-9370-83F08D3E82F1}" name="NEST 140" dataDxfId="1">
      <calculatedColumnFormula>(2*Tabelle2[[#This Row],[Abschlussmodul]])+(5*Tabelle2[[#This Row],[Mittelmodul]])+(7*Tabelle2[[#This Row],[Zusatzkosten/Modul]])+Tabelle2[[#This Row],[UST 20%]]+Tabelle2[[#This Row],[Zuschlag Gew.]]</calculatedColumnFormula>
    </tableColumn>
    <tableColumn id="9" xr3:uid="{017FA6C1-BF69-4AD9-AF17-0AC9E38CB7AA}" name="NEST 160" dataDxfId="0">
      <calculatedColumnFormula>(2*Tabelle2[[#This Row],[Abschlussmodul]])+(6*Tabelle2[[#This Row],[Mittelmodul]])+(8*Tabelle2[[#This Row],[Zusatzkosten/Modul]])+Tabelle2[[#This Row],[UST 20%]]+Tabelle2[[#This Row],[Zuschlag Gew.]]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5103-D0D9-40AB-A29F-2FB7E288D9F5}">
  <dimension ref="A1:P120"/>
  <sheetViews>
    <sheetView tabSelected="1" topLeftCell="A64" zoomScale="85" zoomScaleNormal="85" workbookViewId="0">
      <selection activeCell="E121" sqref="E121"/>
    </sheetView>
  </sheetViews>
  <sheetFormatPr baseColWidth="10" defaultRowHeight="14.4" x14ac:dyDescent="0.3"/>
  <cols>
    <col min="1" max="1" width="16.77734375" style="2" bestFit="1" customWidth="1"/>
    <col min="2" max="2" width="38.6640625" style="2" customWidth="1"/>
    <col min="3" max="3" width="13.33203125" style="4" customWidth="1"/>
    <col min="4" max="4" width="14.44140625" style="4" bestFit="1" customWidth="1"/>
    <col min="5" max="5" width="12.44140625" style="4" customWidth="1"/>
    <col min="6" max="6" width="11.5546875" style="4"/>
    <col min="7" max="7" width="12.109375" style="4" customWidth="1"/>
    <col min="8" max="8" width="11.44140625" style="2" customWidth="1"/>
    <col min="10" max="10" width="11.5546875" customWidth="1"/>
    <col min="11" max="12" width="12" bestFit="1" customWidth="1"/>
    <col min="14" max="14" width="16.21875" bestFit="1" customWidth="1"/>
    <col min="15" max="15" width="12" bestFit="1" customWidth="1"/>
    <col min="16" max="16" width="13.44140625" bestFit="1" customWidth="1"/>
    <col min="17" max="17" width="12" bestFit="1" customWidth="1"/>
    <col min="18" max="18" width="17.109375" customWidth="1"/>
    <col min="19" max="19" width="12" bestFit="1" customWidth="1"/>
  </cols>
  <sheetData>
    <row r="1" spans="1:13" x14ac:dyDescent="0.3">
      <c r="A1" s="2" t="s">
        <v>0</v>
      </c>
      <c r="B1" s="2" t="s">
        <v>6</v>
      </c>
      <c r="C1" s="8" t="s">
        <v>150</v>
      </c>
      <c r="D1" s="4" t="s">
        <v>23</v>
      </c>
      <c r="E1" s="8" t="s">
        <v>151</v>
      </c>
      <c r="F1" s="7" t="s">
        <v>4</v>
      </c>
      <c r="G1" s="4" t="s">
        <v>35</v>
      </c>
      <c r="H1" s="4" t="s">
        <v>206</v>
      </c>
      <c r="I1" s="4" t="s">
        <v>205</v>
      </c>
      <c r="J1" s="7" t="s">
        <v>211</v>
      </c>
      <c r="K1" s="20" t="s">
        <v>28</v>
      </c>
      <c r="L1" t="s">
        <v>148</v>
      </c>
      <c r="M1" t="s">
        <v>149</v>
      </c>
    </row>
    <row r="2" spans="1:13" x14ac:dyDescent="0.3">
      <c r="A2" s="9" t="s">
        <v>7</v>
      </c>
      <c r="B2" s="9" t="s">
        <v>8</v>
      </c>
      <c r="C2" s="10"/>
      <c r="D2" s="10"/>
      <c r="E2" s="10"/>
      <c r="F2" s="10">
        <v>2928.5</v>
      </c>
      <c r="G2" s="10"/>
      <c r="H2" s="10"/>
      <c r="I2" s="10"/>
      <c r="J2" s="10"/>
      <c r="K2" s="9"/>
      <c r="L2" s="9"/>
      <c r="M2" s="9"/>
    </row>
    <row r="3" spans="1:13" x14ac:dyDescent="0.3">
      <c r="A3" s="2" t="s">
        <v>1</v>
      </c>
      <c r="B3" s="2" t="s">
        <v>10</v>
      </c>
      <c r="E3" s="6">
        <v>5795.05</v>
      </c>
      <c r="H3" s="4"/>
      <c r="I3" s="4"/>
      <c r="J3" s="4"/>
      <c r="K3" s="2"/>
      <c r="L3" s="2"/>
      <c r="M3" s="2"/>
    </row>
    <row r="4" spans="1:13" x14ac:dyDescent="0.3">
      <c r="A4" s="2" t="s">
        <v>2</v>
      </c>
      <c r="B4" s="2" t="s">
        <v>11</v>
      </c>
      <c r="E4" s="6">
        <v>4770.38</v>
      </c>
      <c r="H4" s="4"/>
      <c r="I4" s="4"/>
      <c r="J4" s="4"/>
      <c r="K4" s="2"/>
      <c r="L4" s="2"/>
      <c r="M4" s="2"/>
    </row>
    <row r="5" spans="1:13" x14ac:dyDescent="0.3">
      <c r="A5" s="2" t="s">
        <v>3</v>
      </c>
      <c r="B5" s="2" t="s">
        <v>12</v>
      </c>
      <c r="E5" s="6">
        <v>9681.75</v>
      </c>
      <c r="H5" s="4"/>
      <c r="I5" s="4"/>
      <c r="J5" s="4"/>
      <c r="K5" s="2"/>
      <c r="L5" s="2"/>
      <c r="M5" s="2"/>
    </row>
    <row r="6" spans="1:13" x14ac:dyDescent="0.3">
      <c r="A6" s="2" t="s">
        <v>5</v>
      </c>
      <c r="B6" s="2" t="s">
        <v>9</v>
      </c>
      <c r="F6" s="4">
        <f>E3+E4+E5</f>
        <v>20247.18</v>
      </c>
      <c r="H6" s="4"/>
      <c r="I6" s="4"/>
      <c r="J6" s="4"/>
      <c r="K6" s="2"/>
      <c r="L6" s="2"/>
      <c r="M6" s="2"/>
    </row>
    <row r="7" spans="1:13" x14ac:dyDescent="0.3">
      <c r="A7" s="2" t="s">
        <v>13</v>
      </c>
      <c r="B7" s="2" t="s">
        <v>14</v>
      </c>
      <c r="E7" s="6">
        <v>5795.05</v>
      </c>
      <c r="H7" s="4"/>
      <c r="I7" s="4"/>
      <c r="J7" s="4"/>
      <c r="K7" s="2"/>
      <c r="L7" s="2"/>
      <c r="M7" s="2"/>
    </row>
    <row r="8" spans="1:13" x14ac:dyDescent="0.3">
      <c r="A8" s="2" t="s">
        <v>15</v>
      </c>
      <c r="B8" s="2" t="s">
        <v>16</v>
      </c>
      <c r="E8" s="6">
        <v>10913.36</v>
      </c>
      <c r="H8" s="4"/>
      <c r="I8" s="4"/>
      <c r="J8" s="4"/>
      <c r="K8" s="2"/>
      <c r="L8" s="2"/>
      <c r="M8" s="2"/>
    </row>
    <row r="9" spans="1:13" x14ac:dyDescent="0.3">
      <c r="A9" s="2" t="s">
        <v>18</v>
      </c>
      <c r="B9" s="2" t="s">
        <v>17</v>
      </c>
      <c r="E9" s="6">
        <v>14195.03</v>
      </c>
      <c r="H9" s="4"/>
      <c r="I9" s="4"/>
      <c r="J9" s="4"/>
      <c r="K9" s="2"/>
      <c r="L9" s="2"/>
      <c r="M9" s="2"/>
    </row>
    <row r="10" spans="1:13" x14ac:dyDescent="0.3">
      <c r="A10" s="2" t="s">
        <v>19</v>
      </c>
      <c r="B10" s="2" t="s">
        <v>20</v>
      </c>
      <c r="F10" s="4">
        <f>E7+E8+E9</f>
        <v>30903.440000000002</v>
      </c>
      <c r="H10" s="4"/>
      <c r="I10" s="4"/>
      <c r="J10" s="4"/>
      <c r="K10" s="2"/>
      <c r="L10" s="2"/>
      <c r="M10" s="2"/>
    </row>
    <row r="11" spans="1:13" x14ac:dyDescent="0.3">
      <c r="A11" s="2" t="s">
        <v>21</v>
      </c>
      <c r="B11" s="2" t="s">
        <v>24</v>
      </c>
      <c r="C11" s="4">
        <v>151.30000000000001</v>
      </c>
      <c r="D11" s="4">
        <v>43.14</v>
      </c>
      <c r="F11" s="4">
        <f>C11*D11</f>
        <v>6527.0820000000003</v>
      </c>
      <c r="H11" s="4"/>
      <c r="I11" s="4"/>
      <c r="J11" s="4"/>
      <c r="K11" s="2"/>
      <c r="L11" s="2"/>
      <c r="M11" s="2"/>
    </row>
    <row r="12" spans="1:13" x14ac:dyDescent="0.3">
      <c r="B12" s="2" t="s">
        <v>25</v>
      </c>
      <c r="C12" s="4">
        <v>151.30000000000001</v>
      </c>
      <c r="D12" s="4">
        <v>81.94</v>
      </c>
      <c r="F12" s="4">
        <f>C11*D12</f>
        <v>12397.522000000001</v>
      </c>
      <c r="H12" s="4"/>
      <c r="I12" s="4"/>
      <c r="J12" s="4"/>
      <c r="K12" s="2"/>
      <c r="L12" s="2"/>
      <c r="M12" s="2"/>
    </row>
    <row r="13" spans="1:13" x14ac:dyDescent="0.3">
      <c r="A13" s="2" t="s">
        <v>22</v>
      </c>
      <c r="B13" s="2" t="s">
        <v>26</v>
      </c>
      <c r="C13" s="4">
        <v>223.18</v>
      </c>
      <c r="D13" s="4">
        <v>43.14</v>
      </c>
      <c r="F13" s="4">
        <f>C13*D13</f>
        <v>9627.985200000001</v>
      </c>
      <c r="H13" s="4"/>
      <c r="I13" s="4"/>
      <c r="J13" s="4"/>
      <c r="K13" s="2"/>
      <c r="L13" s="2"/>
      <c r="M13" s="2"/>
    </row>
    <row r="14" spans="1:13" x14ac:dyDescent="0.3">
      <c r="B14" s="2" t="s">
        <v>27</v>
      </c>
      <c r="C14" s="4">
        <v>223.18</v>
      </c>
      <c r="D14" s="4">
        <v>81.94</v>
      </c>
      <c r="F14" s="4">
        <f>C13*D14</f>
        <v>18287.369200000001</v>
      </c>
      <c r="H14" s="4"/>
      <c r="I14" s="4"/>
      <c r="J14" s="4"/>
      <c r="K14" s="2"/>
      <c r="L14" s="2"/>
      <c r="M14" s="2"/>
    </row>
    <row r="15" spans="1:13" x14ac:dyDescent="0.3">
      <c r="A15" s="2" t="s">
        <v>29</v>
      </c>
      <c r="B15" s="2" t="s">
        <v>30</v>
      </c>
      <c r="C15" s="4">
        <v>-14.5</v>
      </c>
      <c r="D15" s="4">
        <v>43.14</v>
      </c>
      <c r="F15" s="4">
        <f>C15*D15</f>
        <v>-625.53</v>
      </c>
      <c r="H15" s="4"/>
      <c r="I15" s="4"/>
      <c r="J15" s="4"/>
      <c r="K15" s="2" t="s">
        <v>31</v>
      </c>
      <c r="L15" s="2"/>
      <c r="M15" s="2"/>
    </row>
    <row r="16" spans="1:13" x14ac:dyDescent="0.3">
      <c r="B16" s="2" t="s">
        <v>41</v>
      </c>
      <c r="C16" s="4">
        <v>-14.5</v>
      </c>
      <c r="D16" s="4">
        <v>81.94</v>
      </c>
      <c r="F16" s="4">
        <f>C15*D16</f>
        <v>-1188.1299999999999</v>
      </c>
      <c r="H16" s="4"/>
      <c r="I16" s="4"/>
      <c r="J16" s="4"/>
      <c r="K16" s="2" t="s">
        <v>32</v>
      </c>
      <c r="L16" s="2"/>
      <c r="M16" s="2"/>
    </row>
    <row r="17" spans="1:13" x14ac:dyDescent="0.3">
      <c r="A17" s="9" t="s">
        <v>33</v>
      </c>
      <c r="B17" s="9" t="s">
        <v>34</v>
      </c>
      <c r="C17" s="10"/>
      <c r="D17" s="10"/>
      <c r="E17" s="10"/>
      <c r="F17" s="10"/>
      <c r="G17" s="10">
        <v>687.25</v>
      </c>
      <c r="H17" s="10"/>
      <c r="I17" s="10"/>
      <c r="J17" s="10"/>
      <c r="K17" s="9"/>
      <c r="L17" s="9"/>
      <c r="M17" s="9"/>
    </row>
    <row r="18" spans="1:13" x14ac:dyDescent="0.3">
      <c r="A18" s="2" t="s">
        <v>36</v>
      </c>
      <c r="B18" s="2" t="s">
        <v>37</v>
      </c>
      <c r="C18" s="4">
        <v>75.81</v>
      </c>
      <c r="D18" s="4">
        <v>13.5</v>
      </c>
      <c r="E18" s="6">
        <f>C18*D18</f>
        <v>1023.4350000000001</v>
      </c>
      <c r="H18" s="4"/>
      <c r="I18" s="4"/>
      <c r="J18" s="4"/>
      <c r="K18" s="2"/>
      <c r="L18" s="2"/>
      <c r="M18" s="2"/>
    </row>
    <row r="19" spans="1:13" x14ac:dyDescent="0.3">
      <c r="A19" s="2" t="s">
        <v>38</v>
      </c>
      <c r="B19" s="2" t="s">
        <v>39</v>
      </c>
      <c r="C19" s="4">
        <v>95.3</v>
      </c>
      <c r="D19" s="4">
        <v>24.17</v>
      </c>
      <c r="E19" s="6">
        <f>C19*D19</f>
        <v>2303.4010000000003</v>
      </c>
      <c r="H19" s="4"/>
      <c r="I19" s="4"/>
      <c r="J19" s="4"/>
      <c r="K19" s="2"/>
      <c r="L19" s="2"/>
      <c r="M19" s="2"/>
    </row>
    <row r="20" spans="1:13" x14ac:dyDescent="0.3">
      <c r="B20" s="3" t="s">
        <v>40</v>
      </c>
      <c r="F20" s="5">
        <f>E18+E19</f>
        <v>3326.8360000000002</v>
      </c>
      <c r="H20" s="4"/>
      <c r="I20" s="4"/>
      <c r="J20" s="4"/>
      <c r="K20" s="2"/>
      <c r="L20" s="2"/>
      <c r="M20" s="2"/>
    </row>
    <row r="21" spans="1:13" x14ac:dyDescent="0.3">
      <c r="B21" s="3" t="s">
        <v>44</v>
      </c>
      <c r="C21" s="5">
        <v>75.81</v>
      </c>
      <c r="D21" s="5">
        <v>29.93</v>
      </c>
      <c r="E21" s="6">
        <f>C21*D21</f>
        <v>2268.9933000000001</v>
      </c>
      <c r="H21" s="4"/>
      <c r="I21" s="4"/>
      <c r="J21" s="4"/>
      <c r="K21" s="2"/>
      <c r="L21" s="2"/>
      <c r="M21" s="2"/>
    </row>
    <row r="22" spans="1:13" x14ac:dyDescent="0.3">
      <c r="B22" s="3" t="s">
        <v>43</v>
      </c>
      <c r="F22" s="4">
        <f>D18*C18+D19*C19+D21*C21</f>
        <v>5595.8293000000003</v>
      </c>
      <c r="H22" s="4"/>
      <c r="I22" s="4"/>
      <c r="J22" s="4"/>
      <c r="K22" s="2" t="s">
        <v>45</v>
      </c>
      <c r="L22" s="2"/>
      <c r="M22" s="2"/>
    </row>
    <row r="23" spans="1:13" x14ac:dyDescent="0.3">
      <c r="A23" s="2" t="s">
        <v>42</v>
      </c>
      <c r="B23" s="2" t="s">
        <v>46</v>
      </c>
      <c r="C23" s="4">
        <v>108.58</v>
      </c>
      <c r="D23" s="4">
        <v>13.5</v>
      </c>
      <c r="E23" s="6">
        <f>C23*D23</f>
        <v>1465.83</v>
      </c>
      <c r="H23" s="4"/>
      <c r="I23" s="4"/>
      <c r="J23" s="4"/>
      <c r="K23" s="2"/>
      <c r="L23" s="2"/>
      <c r="M23" s="2"/>
    </row>
    <row r="24" spans="1:13" x14ac:dyDescent="0.3">
      <c r="A24" s="2" t="s">
        <v>51</v>
      </c>
      <c r="B24" s="2" t="s">
        <v>47</v>
      </c>
      <c r="C24" s="4">
        <v>128.07</v>
      </c>
      <c r="D24" s="4">
        <v>24.17</v>
      </c>
      <c r="E24" s="6">
        <f>C24*D24</f>
        <v>3095.4519</v>
      </c>
      <c r="H24" s="4"/>
      <c r="I24" s="4"/>
      <c r="J24" s="4"/>
      <c r="K24" s="2"/>
      <c r="L24" s="2"/>
      <c r="M24" s="2"/>
    </row>
    <row r="25" spans="1:13" x14ac:dyDescent="0.3">
      <c r="B25" s="2" t="s">
        <v>48</v>
      </c>
      <c r="F25" s="4">
        <f>E23+E24</f>
        <v>4561.2819</v>
      </c>
      <c r="H25" s="4"/>
      <c r="I25" s="4"/>
      <c r="J25" s="4"/>
      <c r="K25" s="2"/>
      <c r="L25" s="2"/>
      <c r="M25" s="2"/>
    </row>
    <row r="26" spans="1:13" x14ac:dyDescent="0.3">
      <c r="B26" s="3" t="s">
        <v>49</v>
      </c>
      <c r="C26" s="5">
        <v>108.58</v>
      </c>
      <c r="D26" s="5">
        <v>29.93</v>
      </c>
      <c r="E26" s="6">
        <f>C26*D26</f>
        <v>3249.7993999999999</v>
      </c>
      <c r="H26" s="4"/>
      <c r="I26" s="4"/>
      <c r="J26" s="4"/>
      <c r="K26" s="2"/>
      <c r="L26" s="2"/>
      <c r="M26" s="2"/>
    </row>
    <row r="27" spans="1:13" x14ac:dyDescent="0.3">
      <c r="B27" s="3" t="s">
        <v>50</v>
      </c>
      <c r="F27" s="4">
        <f>C23*D23+C24*D24+C26*D26</f>
        <v>7811.0812999999998</v>
      </c>
      <c r="H27" s="4"/>
      <c r="I27" s="4"/>
      <c r="J27" s="4"/>
      <c r="K27" s="2" t="s">
        <v>60</v>
      </c>
      <c r="L27" s="2"/>
      <c r="M27" s="2"/>
    </row>
    <row r="28" spans="1:13" x14ac:dyDescent="0.3">
      <c r="A28" s="2" t="s">
        <v>52</v>
      </c>
      <c r="B28" s="2" t="s">
        <v>53</v>
      </c>
      <c r="C28" s="4">
        <v>89.89</v>
      </c>
      <c r="D28" s="4">
        <v>13.5</v>
      </c>
      <c r="E28" s="6">
        <f>C28*D28</f>
        <v>1213.5150000000001</v>
      </c>
      <c r="H28" s="4"/>
      <c r="I28" s="4"/>
      <c r="J28" s="4"/>
      <c r="K28" s="2"/>
      <c r="L28" s="2"/>
      <c r="M28" s="2"/>
    </row>
    <row r="29" spans="1:13" x14ac:dyDescent="0.3">
      <c r="A29" s="2" t="s">
        <v>54</v>
      </c>
      <c r="B29" s="2" t="s">
        <v>55</v>
      </c>
      <c r="C29" s="4">
        <v>109.38</v>
      </c>
      <c r="D29" s="4">
        <v>24.17</v>
      </c>
      <c r="E29" s="6">
        <f>C29*D29</f>
        <v>2643.7146000000002</v>
      </c>
      <c r="H29" s="4"/>
      <c r="I29" s="4"/>
      <c r="J29" s="4"/>
      <c r="K29" s="2"/>
      <c r="L29" s="2"/>
      <c r="M29" s="2"/>
    </row>
    <row r="30" spans="1:13" x14ac:dyDescent="0.3">
      <c r="B30" s="2" t="s">
        <v>56</v>
      </c>
      <c r="F30" s="4">
        <f>E28+E29</f>
        <v>3857.2296000000006</v>
      </c>
      <c r="H30" s="4"/>
      <c r="I30" s="4"/>
      <c r="J30" s="4"/>
      <c r="K30" s="2"/>
      <c r="L30" s="2"/>
      <c r="M30" s="2"/>
    </row>
    <row r="31" spans="1:13" x14ac:dyDescent="0.3">
      <c r="B31" s="3" t="s">
        <v>57</v>
      </c>
      <c r="C31" s="5">
        <v>89.89</v>
      </c>
      <c r="D31" s="5">
        <v>29.93</v>
      </c>
      <c r="E31" s="6">
        <f>C31*D31</f>
        <v>2690.4077000000002</v>
      </c>
      <c r="H31" s="4"/>
      <c r="I31" s="4"/>
      <c r="J31" s="4"/>
      <c r="K31" s="2"/>
      <c r="L31" s="2"/>
      <c r="M31" s="2"/>
    </row>
    <row r="32" spans="1:13" x14ac:dyDescent="0.3">
      <c r="B32" s="2" t="s">
        <v>58</v>
      </c>
      <c r="F32" s="4">
        <f>C28*D28+C29*D29+C31*D31</f>
        <v>6547.6373000000003</v>
      </c>
      <c r="H32" s="4"/>
      <c r="I32" s="4"/>
      <c r="J32" s="4"/>
      <c r="K32" s="2" t="s">
        <v>61</v>
      </c>
      <c r="L32" s="2"/>
      <c r="M32" s="2"/>
    </row>
    <row r="33" spans="1:13" x14ac:dyDescent="0.3">
      <c r="B33" s="2" t="s">
        <v>220</v>
      </c>
      <c r="C33" s="4">
        <v>106.8</v>
      </c>
      <c r="D33" s="4">
        <v>20.53</v>
      </c>
      <c r="F33" s="4">
        <f>Tabelle1[[#This Row],[Einzelpreis m²]]*Tabelle1[[#This Row],[m²/Modul]]</f>
        <v>2192.6040000000003</v>
      </c>
      <c r="H33" s="4"/>
      <c r="I33" s="4"/>
      <c r="J33" s="22"/>
      <c r="K33" s="2"/>
      <c r="L33" s="4"/>
      <c r="M33" s="4"/>
    </row>
    <row r="34" spans="1:13" x14ac:dyDescent="0.3">
      <c r="A34" s="12" t="s">
        <v>59</v>
      </c>
      <c r="B34" s="12" t="s">
        <v>62</v>
      </c>
      <c r="C34" s="13">
        <v>102.35</v>
      </c>
      <c r="D34" s="13">
        <v>20.5288</v>
      </c>
      <c r="E34" s="13"/>
      <c r="F34" s="13">
        <f>C34*D34</f>
        <v>2101.1226799999999</v>
      </c>
      <c r="G34" s="13"/>
      <c r="H34" s="13"/>
      <c r="I34" s="13"/>
      <c r="J34" s="13"/>
      <c r="K34" s="12" t="s">
        <v>196</v>
      </c>
      <c r="L34" s="12"/>
      <c r="M34" s="12"/>
    </row>
    <row r="35" spans="1:13" x14ac:dyDescent="0.3">
      <c r="A35" s="12" t="s">
        <v>63</v>
      </c>
      <c r="B35" s="12" t="s">
        <v>195</v>
      </c>
      <c r="C35" s="13">
        <v>127.3</v>
      </c>
      <c r="D35" s="13">
        <v>20.53</v>
      </c>
      <c r="E35" s="13"/>
      <c r="F35" s="13">
        <f>C35*D35</f>
        <v>2613.4690000000001</v>
      </c>
      <c r="G35" s="13"/>
      <c r="H35" s="13"/>
      <c r="I35" s="13"/>
      <c r="J35" s="13"/>
      <c r="K35" s="12"/>
      <c r="L35" s="12"/>
      <c r="M35" s="12"/>
    </row>
    <row r="36" spans="1:13" x14ac:dyDescent="0.3">
      <c r="A36" s="9" t="s">
        <v>64</v>
      </c>
      <c r="B36" s="9" t="s">
        <v>65</v>
      </c>
      <c r="C36" s="10"/>
      <c r="D36" s="10"/>
      <c r="E36" s="10"/>
      <c r="F36" s="10">
        <v>141.9</v>
      </c>
      <c r="G36" s="10"/>
      <c r="H36" s="10"/>
      <c r="I36" s="10"/>
      <c r="J36" s="10"/>
      <c r="K36" s="9"/>
      <c r="L36" s="9"/>
      <c r="M36" s="9"/>
    </row>
    <row r="37" spans="1:13" x14ac:dyDescent="0.3">
      <c r="A37" s="9" t="s">
        <v>66</v>
      </c>
      <c r="B37" s="9" t="s">
        <v>67</v>
      </c>
      <c r="C37" s="10"/>
      <c r="D37" s="10"/>
      <c r="E37" s="10"/>
      <c r="F37" s="10">
        <v>2307.64</v>
      </c>
      <c r="G37" s="10"/>
      <c r="H37" s="10"/>
      <c r="I37" s="10"/>
      <c r="J37" s="10"/>
      <c r="K37" s="9"/>
      <c r="L37" s="9"/>
      <c r="M37" s="9"/>
    </row>
    <row r="38" spans="1:13" x14ac:dyDescent="0.3">
      <c r="A38" s="21"/>
      <c r="B38" s="21" t="s">
        <v>218</v>
      </c>
      <c r="C38" s="22">
        <v>106.8</v>
      </c>
      <c r="D38" s="22">
        <v>20.53</v>
      </c>
      <c r="E38" s="22"/>
      <c r="F38" s="22">
        <f>Tabelle1[[#This Row],[Einzelpreis m²]]*Tabelle1[[#This Row],[m²/Modul]]</f>
        <v>2192.6040000000003</v>
      </c>
      <c r="G38" s="22"/>
      <c r="H38" s="22"/>
      <c r="I38" s="22"/>
      <c r="J38" s="22"/>
      <c r="K38" s="21" t="s">
        <v>219</v>
      </c>
      <c r="L38" s="22"/>
      <c r="M38" s="22"/>
    </row>
    <row r="39" spans="1:13" x14ac:dyDescent="0.3">
      <c r="A39" s="14" t="s">
        <v>68</v>
      </c>
      <c r="B39" s="14" t="s">
        <v>69</v>
      </c>
      <c r="C39" s="15"/>
      <c r="D39" s="15"/>
      <c r="E39" s="15"/>
      <c r="F39" s="15">
        <v>155.44999999999999</v>
      </c>
      <c r="G39" s="15"/>
      <c r="H39" s="15"/>
      <c r="I39" s="15"/>
      <c r="J39" s="15"/>
      <c r="K39" s="14"/>
      <c r="L39" s="14"/>
      <c r="M39" s="14"/>
    </row>
    <row r="40" spans="1:13" x14ac:dyDescent="0.3">
      <c r="A40" s="2" t="s">
        <v>70</v>
      </c>
      <c r="B40" s="11" t="s">
        <v>71</v>
      </c>
      <c r="E40" s="6">
        <v>1614.35</v>
      </c>
      <c r="H40" s="4"/>
      <c r="I40" s="4"/>
      <c r="J40" s="4"/>
      <c r="K40" s="2" t="s">
        <v>72</v>
      </c>
      <c r="L40" s="2"/>
      <c r="M40" s="2"/>
    </row>
    <row r="41" spans="1:13" x14ac:dyDescent="0.3">
      <c r="A41" s="2" t="s">
        <v>73</v>
      </c>
      <c r="B41" s="11" t="s">
        <v>74</v>
      </c>
      <c r="E41" s="6">
        <v>225</v>
      </c>
      <c r="H41" s="4"/>
      <c r="I41" s="4"/>
      <c r="J41" s="4"/>
      <c r="K41" s="2" t="s">
        <v>72</v>
      </c>
      <c r="L41" s="2"/>
      <c r="M41" s="2"/>
    </row>
    <row r="42" spans="1:13" x14ac:dyDescent="0.3">
      <c r="A42" s="18" t="s">
        <v>75</v>
      </c>
      <c r="B42" s="18" t="s">
        <v>86</v>
      </c>
      <c r="C42" s="19"/>
      <c r="D42" s="19"/>
      <c r="E42" s="19">
        <v>1423.39</v>
      </c>
      <c r="F42" s="19"/>
      <c r="G42" s="19"/>
      <c r="H42" s="19"/>
      <c r="I42" s="19"/>
      <c r="J42" s="19"/>
      <c r="K42" s="18"/>
      <c r="L42" s="18"/>
      <c r="M42" s="18"/>
    </row>
    <row r="43" spans="1:13" x14ac:dyDescent="0.3">
      <c r="A43" s="18" t="s">
        <v>76</v>
      </c>
      <c r="B43" s="18" t="s">
        <v>87</v>
      </c>
      <c r="C43" s="19"/>
      <c r="D43" s="19"/>
      <c r="E43" s="19">
        <v>2060</v>
      </c>
      <c r="F43" s="19"/>
      <c r="G43" s="19" t="s">
        <v>77</v>
      </c>
      <c r="H43" s="19"/>
      <c r="I43" s="19"/>
      <c r="J43" s="19"/>
      <c r="K43" s="18"/>
      <c r="L43" s="18"/>
      <c r="M43" s="18"/>
    </row>
    <row r="44" spans="1:13" x14ac:dyDescent="0.3">
      <c r="A44" s="18" t="s">
        <v>78</v>
      </c>
      <c r="B44" s="18" t="s">
        <v>80</v>
      </c>
      <c r="C44" s="19"/>
      <c r="D44" s="19"/>
      <c r="E44" s="19">
        <v>2430.08</v>
      </c>
      <c r="F44" s="19"/>
      <c r="G44" s="19"/>
      <c r="H44" s="19"/>
      <c r="I44" s="19"/>
      <c r="J44" s="19"/>
      <c r="K44" s="18"/>
      <c r="L44" s="18"/>
      <c r="M44" s="18"/>
    </row>
    <row r="45" spans="1:13" x14ac:dyDescent="0.3">
      <c r="A45" s="18" t="s">
        <v>79</v>
      </c>
      <c r="B45" s="18" t="s">
        <v>85</v>
      </c>
      <c r="C45" s="19"/>
      <c r="D45" s="19"/>
      <c r="E45" s="19">
        <v>6914.38</v>
      </c>
      <c r="F45" s="19"/>
      <c r="G45" s="19"/>
      <c r="H45" s="19"/>
      <c r="I45" s="19"/>
      <c r="J45" s="19"/>
      <c r="K45" s="18"/>
      <c r="L45" s="18"/>
      <c r="M45" s="18"/>
    </row>
    <row r="46" spans="1:13" x14ac:dyDescent="0.3">
      <c r="A46" s="18" t="s">
        <v>81</v>
      </c>
      <c r="B46" s="18" t="s">
        <v>95</v>
      </c>
      <c r="C46" s="19"/>
      <c r="D46" s="19"/>
      <c r="E46" s="19">
        <v>2751.63</v>
      </c>
      <c r="F46" s="19"/>
      <c r="G46" s="19"/>
      <c r="H46" s="19"/>
      <c r="I46" s="19"/>
      <c r="J46" s="19"/>
      <c r="K46" s="18"/>
      <c r="L46" s="18"/>
      <c r="M46" s="18"/>
    </row>
    <row r="47" spans="1:13" x14ac:dyDescent="0.3">
      <c r="A47" s="18" t="s">
        <v>82</v>
      </c>
      <c r="B47" s="18" t="s">
        <v>83</v>
      </c>
      <c r="C47" s="19"/>
      <c r="D47" s="19"/>
      <c r="E47" s="19">
        <v>4246.6000000000004</v>
      </c>
      <c r="F47" s="19"/>
      <c r="G47" s="19"/>
      <c r="H47" s="19"/>
      <c r="I47" s="19"/>
      <c r="J47" s="19"/>
      <c r="K47" s="18"/>
      <c r="L47" s="18"/>
      <c r="M47" s="18"/>
    </row>
    <row r="48" spans="1:13" x14ac:dyDescent="0.3">
      <c r="A48" s="18" t="s">
        <v>84</v>
      </c>
      <c r="B48" s="18" t="s">
        <v>88</v>
      </c>
      <c r="C48" s="19"/>
      <c r="D48" s="19"/>
      <c r="E48" s="19">
        <v>1083.07</v>
      </c>
      <c r="F48" s="19"/>
      <c r="G48" s="19"/>
      <c r="H48" s="19"/>
      <c r="I48" s="19"/>
      <c r="J48" s="19"/>
      <c r="K48" s="18"/>
      <c r="L48" s="18"/>
      <c r="M48" s="18"/>
    </row>
    <row r="49" spans="1:13" x14ac:dyDescent="0.3">
      <c r="A49" s="18" t="s">
        <v>90</v>
      </c>
      <c r="B49" s="18" t="s">
        <v>89</v>
      </c>
      <c r="C49" s="19"/>
      <c r="D49" s="19"/>
      <c r="E49" s="19">
        <v>1454.5</v>
      </c>
      <c r="F49" s="19"/>
      <c r="G49" s="19"/>
      <c r="H49" s="19"/>
      <c r="I49" s="19"/>
      <c r="J49" s="19"/>
      <c r="K49" s="18"/>
      <c r="L49" s="18"/>
      <c r="M49" s="18"/>
    </row>
    <row r="50" spans="1:13" x14ac:dyDescent="0.3">
      <c r="A50" s="18" t="s">
        <v>91</v>
      </c>
      <c r="B50" s="18" t="s">
        <v>92</v>
      </c>
      <c r="C50" s="19"/>
      <c r="D50" s="19"/>
      <c r="E50" s="19">
        <v>2159.2600000000002</v>
      </c>
      <c r="F50" s="19"/>
      <c r="G50" s="19"/>
      <c r="H50" s="19"/>
      <c r="I50" s="19"/>
      <c r="J50" s="19"/>
      <c r="K50" s="18"/>
      <c r="L50" s="18"/>
      <c r="M50" s="18"/>
    </row>
    <row r="51" spans="1:13" x14ac:dyDescent="0.3">
      <c r="A51" s="18" t="s">
        <v>93</v>
      </c>
      <c r="B51" s="18" t="s">
        <v>111</v>
      </c>
      <c r="C51" s="19"/>
      <c r="D51" s="19"/>
      <c r="E51" s="19">
        <v>6141.59</v>
      </c>
      <c r="F51" s="19"/>
      <c r="G51" s="19"/>
      <c r="H51" s="19"/>
      <c r="I51" s="19"/>
      <c r="J51" s="19"/>
      <c r="K51" s="18"/>
      <c r="L51" s="18"/>
      <c r="M51" s="18"/>
    </row>
    <row r="52" spans="1:13" x14ac:dyDescent="0.3">
      <c r="A52" s="18" t="s">
        <v>94</v>
      </c>
      <c r="B52" s="18" t="s">
        <v>96</v>
      </c>
      <c r="C52" s="19"/>
      <c r="D52" s="19"/>
      <c r="E52" s="19">
        <v>1873.07</v>
      </c>
      <c r="F52" s="19"/>
      <c r="G52" s="19"/>
      <c r="H52" s="19"/>
      <c r="I52" s="19"/>
      <c r="J52" s="19"/>
      <c r="K52" s="18"/>
      <c r="L52" s="18"/>
      <c r="M52" s="18"/>
    </row>
    <row r="53" spans="1:13" x14ac:dyDescent="0.3">
      <c r="A53" s="18" t="s">
        <v>97</v>
      </c>
      <c r="B53" s="18" t="s">
        <v>98</v>
      </c>
      <c r="C53" s="19"/>
      <c r="D53" s="19"/>
      <c r="E53" s="19">
        <v>4246.6000000000004</v>
      </c>
      <c r="F53" s="19"/>
      <c r="G53" s="19"/>
      <c r="H53" s="19"/>
      <c r="I53" s="19"/>
      <c r="J53" s="19"/>
      <c r="K53" s="18"/>
      <c r="L53" s="18"/>
      <c r="M53" s="18"/>
    </row>
    <row r="54" spans="1:13" x14ac:dyDescent="0.3">
      <c r="A54" s="18" t="s">
        <v>99</v>
      </c>
      <c r="B54" s="18" t="s">
        <v>103</v>
      </c>
      <c r="C54" s="19">
        <v>1228.55</v>
      </c>
      <c r="D54" s="19"/>
      <c r="E54" s="19"/>
      <c r="F54" s="19"/>
      <c r="G54" s="19"/>
      <c r="H54" s="19"/>
      <c r="I54" s="19"/>
      <c r="J54" s="19"/>
      <c r="K54" s="18"/>
      <c r="L54" s="18"/>
      <c r="M54" s="18"/>
    </row>
    <row r="55" spans="1:13" x14ac:dyDescent="0.3">
      <c r="A55" s="18" t="s">
        <v>100</v>
      </c>
      <c r="B55" s="18" t="s">
        <v>104</v>
      </c>
      <c r="C55" s="19">
        <v>1539.05</v>
      </c>
      <c r="D55" s="19"/>
      <c r="E55" s="19"/>
      <c r="F55" s="19"/>
      <c r="G55" s="19"/>
      <c r="H55" s="19"/>
      <c r="I55" s="19"/>
      <c r="J55" s="19"/>
      <c r="K55" s="18"/>
      <c r="L55" s="18"/>
      <c r="M55" s="18"/>
    </row>
    <row r="56" spans="1:13" x14ac:dyDescent="0.3">
      <c r="A56" s="18" t="s">
        <v>101</v>
      </c>
      <c r="B56" s="18" t="s">
        <v>105</v>
      </c>
      <c r="C56" s="19">
        <v>1925.45</v>
      </c>
      <c r="D56" s="19"/>
      <c r="E56" s="19"/>
      <c r="F56" s="19"/>
      <c r="G56" s="19"/>
      <c r="H56" s="19"/>
      <c r="I56" s="19"/>
      <c r="J56" s="19"/>
      <c r="K56" s="18"/>
      <c r="L56" s="18"/>
      <c r="M56" s="18"/>
    </row>
    <row r="57" spans="1:13" x14ac:dyDescent="0.3">
      <c r="A57" s="18" t="s">
        <v>102</v>
      </c>
      <c r="B57" s="18" t="s">
        <v>106</v>
      </c>
      <c r="C57" s="19">
        <v>1050.3</v>
      </c>
      <c r="D57" s="19"/>
      <c r="E57" s="19"/>
      <c r="F57" s="19"/>
      <c r="G57" s="19"/>
      <c r="H57" s="19"/>
      <c r="I57" s="19"/>
      <c r="J57" s="19"/>
      <c r="K57" s="18"/>
      <c r="L57" s="18"/>
      <c r="M57" s="18"/>
    </row>
    <row r="58" spans="1:13" x14ac:dyDescent="0.3">
      <c r="A58" s="18" t="s">
        <v>107</v>
      </c>
      <c r="B58" s="18" t="s">
        <v>109</v>
      </c>
      <c r="C58" s="19"/>
      <c r="D58" s="19"/>
      <c r="E58" s="19">
        <v>3930.48</v>
      </c>
      <c r="F58" s="19"/>
      <c r="G58" s="19"/>
      <c r="H58" s="19"/>
      <c r="I58" s="19"/>
      <c r="J58" s="19"/>
      <c r="K58" s="18"/>
      <c r="L58" s="18"/>
      <c r="M58" s="18"/>
    </row>
    <row r="59" spans="1:13" x14ac:dyDescent="0.3">
      <c r="A59" s="18" t="s">
        <v>108</v>
      </c>
      <c r="B59" s="18" t="s">
        <v>110</v>
      </c>
      <c r="C59" s="19"/>
      <c r="D59" s="19"/>
      <c r="E59" s="19">
        <v>7258</v>
      </c>
      <c r="F59" s="19"/>
      <c r="G59" s="19"/>
      <c r="H59" s="19"/>
      <c r="I59" s="19"/>
      <c r="J59" s="19"/>
      <c r="K59" s="18"/>
      <c r="L59" s="18"/>
      <c r="M59" s="18"/>
    </row>
    <row r="60" spans="1:13" x14ac:dyDescent="0.3">
      <c r="A60" s="18" t="s">
        <v>113</v>
      </c>
      <c r="B60" s="18" t="s">
        <v>112</v>
      </c>
      <c r="C60" s="19"/>
      <c r="D60" s="19"/>
      <c r="E60" s="19">
        <v>4838.3999999999996</v>
      </c>
      <c r="F60" s="19"/>
      <c r="G60" s="19"/>
      <c r="H60" s="19"/>
      <c r="I60" s="19"/>
      <c r="J60" s="19"/>
      <c r="K60" s="18"/>
      <c r="L60" s="18"/>
      <c r="M60" s="18"/>
    </row>
    <row r="61" spans="1:13" x14ac:dyDescent="0.3">
      <c r="A61" s="18" t="s">
        <v>114</v>
      </c>
      <c r="B61" s="18" t="s">
        <v>117</v>
      </c>
      <c r="C61" s="19">
        <v>1295.25</v>
      </c>
      <c r="D61" s="19"/>
      <c r="E61" s="19"/>
      <c r="F61" s="19"/>
      <c r="G61" s="19"/>
      <c r="H61" s="19"/>
      <c r="I61" s="19"/>
      <c r="J61" s="19"/>
      <c r="K61" s="18"/>
      <c r="L61" s="18"/>
      <c r="M61" s="18"/>
    </row>
    <row r="62" spans="1:13" x14ac:dyDescent="0.3">
      <c r="A62" s="18" t="s">
        <v>115</v>
      </c>
      <c r="B62" s="18" t="s">
        <v>118</v>
      </c>
      <c r="C62" s="19">
        <v>1637.95</v>
      </c>
      <c r="D62" s="19"/>
      <c r="E62" s="19"/>
      <c r="F62" s="19"/>
      <c r="G62" s="19"/>
      <c r="H62" s="19"/>
      <c r="I62" s="19"/>
      <c r="J62" s="19"/>
      <c r="K62" s="18"/>
      <c r="L62" s="18"/>
      <c r="M62" s="18"/>
    </row>
    <row r="63" spans="1:13" x14ac:dyDescent="0.3">
      <c r="A63" s="18" t="s">
        <v>116</v>
      </c>
      <c r="B63" s="18" t="s">
        <v>119</v>
      </c>
      <c r="C63" s="19">
        <v>2055.98</v>
      </c>
      <c r="D63" s="19"/>
      <c r="E63" s="19"/>
      <c r="F63" s="19"/>
      <c r="G63" s="19"/>
      <c r="H63" s="19"/>
      <c r="I63" s="19"/>
      <c r="J63" s="19"/>
      <c r="K63" s="18"/>
      <c r="L63" s="18"/>
      <c r="M63" s="18"/>
    </row>
    <row r="64" spans="1:13" x14ac:dyDescent="0.3">
      <c r="A64" s="18" t="s">
        <v>121</v>
      </c>
      <c r="B64" s="18" t="s">
        <v>120</v>
      </c>
      <c r="C64" s="19">
        <v>1094</v>
      </c>
      <c r="D64" s="19"/>
      <c r="E64" s="19"/>
      <c r="F64" s="19"/>
      <c r="G64" s="19"/>
      <c r="H64" s="19"/>
      <c r="I64" s="19"/>
      <c r="J64" s="19"/>
      <c r="K64" s="18"/>
      <c r="L64" s="18"/>
      <c r="M64" s="18"/>
    </row>
    <row r="65" spans="1:13" x14ac:dyDescent="0.3">
      <c r="A65" s="18" t="s">
        <v>122</v>
      </c>
      <c r="B65" s="18" t="s">
        <v>123</v>
      </c>
      <c r="C65" s="19"/>
      <c r="D65" s="19"/>
      <c r="E65" s="19">
        <v>3930.48</v>
      </c>
      <c r="F65" s="19"/>
      <c r="G65" s="19"/>
      <c r="H65" s="19"/>
      <c r="I65" s="19"/>
      <c r="J65" s="19"/>
      <c r="K65" s="18"/>
      <c r="L65" s="18"/>
      <c r="M65" s="18"/>
    </row>
    <row r="66" spans="1:13" x14ac:dyDescent="0.3">
      <c r="A66" s="18" t="s">
        <v>124</v>
      </c>
      <c r="B66" s="18" t="s">
        <v>126</v>
      </c>
      <c r="C66" s="19"/>
      <c r="D66" s="19"/>
      <c r="E66" s="19">
        <v>7893.95</v>
      </c>
      <c r="F66" s="19"/>
      <c r="G66" s="19"/>
      <c r="H66" s="19"/>
      <c r="I66" s="19"/>
      <c r="J66" s="19"/>
      <c r="K66" s="18"/>
      <c r="L66" s="18"/>
      <c r="M66" s="18"/>
    </row>
    <row r="67" spans="1:13" x14ac:dyDescent="0.3">
      <c r="A67" s="18" t="s">
        <v>125</v>
      </c>
      <c r="B67" s="18" t="s">
        <v>127</v>
      </c>
      <c r="C67" s="19"/>
      <c r="D67" s="19"/>
      <c r="E67" s="19">
        <v>5309.9</v>
      </c>
      <c r="F67" s="19"/>
      <c r="G67" s="19"/>
      <c r="H67" s="19"/>
      <c r="I67" s="19"/>
      <c r="J67" s="19"/>
      <c r="K67" s="18"/>
      <c r="L67" s="18"/>
      <c r="M67" s="18"/>
    </row>
    <row r="68" spans="1:13" x14ac:dyDescent="0.3">
      <c r="A68" s="18" t="s">
        <v>128</v>
      </c>
      <c r="B68" s="18" t="s">
        <v>141</v>
      </c>
      <c r="C68" s="19">
        <v>921.5</v>
      </c>
      <c r="D68" s="19"/>
      <c r="E68" s="19"/>
      <c r="F68" s="19"/>
      <c r="G68" s="19"/>
      <c r="H68" s="19"/>
      <c r="I68" s="19"/>
      <c r="J68" s="19"/>
      <c r="K68" s="18"/>
      <c r="L68" s="18"/>
      <c r="M68" s="18"/>
    </row>
    <row r="69" spans="1:13" x14ac:dyDescent="0.3">
      <c r="A69" s="18" t="s">
        <v>129</v>
      </c>
      <c r="B69" s="18" t="s">
        <v>135</v>
      </c>
      <c r="C69" s="19">
        <v>1034.2</v>
      </c>
      <c r="D69" s="19"/>
      <c r="E69" s="19"/>
      <c r="F69" s="19"/>
      <c r="G69" s="19"/>
      <c r="H69" s="19"/>
      <c r="I69" s="19"/>
      <c r="J69" s="19"/>
      <c r="K69" s="18"/>
      <c r="L69" s="18"/>
      <c r="M69" s="18"/>
    </row>
    <row r="70" spans="1:13" x14ac:dyDescent="0.3">
      <c r="A70" s="18" t="s">
        <v>130</v>
      </c>
      <c r="B70" s="18" t="s">
        <v>136</v>
      </c>
      <c r="C70" s="19">
        <v>1101.48</v>
      </c>
      <c r="D70" s="19"/>
      <c r="E70" s="19"/>
      <c r="F70" s="19"/>
      <c r="G70" s="19"/>
      <c r="H70" s="19"/>
      <c r="I70" s="19"/>
      <c r="J70" s="19"/>
      <c r="K70" s="18"/>
      <c r="L70" s="18"/>
      <c r="M70" s="18"/>
    </row>
    <row r="71" spans="1:13" x14ac:dyDescent="0.3">
      <c r="A71" s="18" t="s">
        <v>131</v>
      </c>
      <c r="B71" s="18" t="s">
        <v>137</v>
      </c>
      <c r="C71" s="19">
        <v>881.25</v>
      </c>
      <c r="D71" s="19"/>
      <c r="E71" s="19"/>
      <c r="F71" s="19"/>
      <c r="G71" s="19"/>
      <c r="H71" s="19"/>
      <c r="I71" s="19"/>
      <c r="J71" s="19"/>
      <c r="K71" s="18"/>
      <c r="L71" s="18"/>
      <c r="M71" s="18"/>
    </row>
    <row r="72" spans="1:13" x14ac:dyDescent="0.3">
      <c r="A72" s="18" t="s">
        <v>132</v>
      </c>
      <c r="B72" s="18" t="s">
        <v>138</v>
      </c>
      <c r="C72" s="19"/>
      <c r="D72" s="19"/>
      <c r="E72" s="19">
        <v>3663.67</v>
      </c>
      <c r="F72" s="19"/>
      <c r="G72" s="19"/>
      <c r="H72" s="19"/>
      <c r="I72" s="19"/>
      <c r="J72" s="19"/>
      <c r="K72" s="18"/>
      <c r="L72" s="18"/>
      <c r="M72" s="18"/>
    </row>
    <row r="73" spans="1:13" x14ac:dyDescent="0.3">
      <c r="A73" s="18" t="s">
        <v>133</v>
      </c>
      <c r="B73" s="18" t="s">
        <v>139</v>
      </c>
      <c r="C73" s="19"/>
      <c r="D73" s="19"/>
      <c r="E73" s="19">
        <v>5071.8500000000004</v>
      </c>
      <c r="F73" s="19"/>
      <c r="G73" s="19"/>
      <c r="H73" s="19"/>
      <c r="I73" s="19"/>
      <c r="J73" s="19"/>
      <c r="K73" s="18"/>
      <c r="L73" s="18"/>
      <c r="M73" s="18"/>
    </row>
    <row r="74" spans="1:13" x14ac:dyDescent="0.3">
      <c r="A74" s="18" t="s">
        <v>134</v>
      </c>
      <c r="B74" s="18" t="s">
        <v>140</v>
      </c>
      <c r="C74" s="19"/>
      <c r="D74" s="19"/>
      <c r="E74" s="19">
        <v>3483.7</v>
      </c>
      <c r="F74" s="19"/>
      <c r="G74" s="19"/>
      <c r="H74" s="19"/>
      <c r="I74" s="19"/>
      <c r="J74" s="19"/>
      <c r="K74" s="18"/>
      <c r="L74" s="18"/>
      <c r="M74" s="18"/>
    </row>
    <row r="75" spans="1:13" x14ac:dyDescent="0.3">
      <c r="A75" s="14" t="s">
        <v>142</v>
      </c>
      <c r="B75" s="14" t="s">
        <v>144</v>
      </c>
      <c r="C75" s="15"/>
      <c r="D75" s="15"/>
      <c r="E75" s="15">
        <v>2971.5</v>
      </c>
      <c r="F75" s="15"/>
      <c r="G75" s="15"/>
      <c r="H75" s="15"/>
      <c r="I75" s="15"/>
      <c r="J75" s="15"/>
      <c r="K75" s="14" t="s">
        <v>145</v>
      </c>
      <c r="L75" s="14"/>
      <c r="M75" s="14"/>
    </row>
    <row r="76" spans="1:13" x14ac:dyDescent="0.3">
      <c r="A76" s="14" t="s">
        <v>143</v>
      </c>
      <c r="B76" s="14" t="s">
        <v>146</v>
      </c>
      <c r="C76" s="15"/>
      <c r="D76" s="15"/>
      <c r="E76" s="15">
        <v>1408.75</v>
      </c>
      <c r="F76" s="15"/>
      <c r="G76" s="15"/>
      <c r="H76" s="15"/>
      <c r="I76" s="15"/>
      <c r="J76" s="15"/>
      <c r="K76" s="14" t="s">
        <v>147</v>
      </c>
      <c r="L76" s="14"/>
      <c r="M76" s="14"/>
    </row>
    <row r="77" spans="1:13" x14ac:dyDescent="0.3">
      <c r="A77" s="16" t="s">
        <v>152</v>
      </c>
      <c r="B77" s="16" t="s">
        <v>153</v>
      </c>
      <c r="C77" s="17"/>
      <c r="D77" s="17"/>
      <c r="E77" s="17"/>
      <c r="F77" s="17">
        <v>3000</v>
      </c>
      <c r="G77" s="17"/>
      <c r="H77" s="17"/>
      <c r="I77" s="17"/>
      <c r="J77" s="17"/>
      <c r="K77" s="16"/>
      <c r="L77" s="16"/>
      <c r="M77" s="16"/>
    </row>
    <row r="78" spans="1:13" x14ac:dyDescent="0.3">
      <c r="A78" s="21" t="s">
        <v>207</v>
      </c>
      <c r="B78" s="21" t="s">
        <v>208</v>
      </c>
      <c r="C78" s="22"/>
      <c r="D78" s="22">
        <v>20.53</v>
      </c>
      <c r="E78" s="22"/>
      <c r="F78" s="22"/>
      <c r="G78" s="22"/>
      <c r="H78" s="22"/>
      <c r="I78" s="22"/>
      <c r="J78" s="22"/>
      <c r="K78" s="21"/>
      <c r="L78" s="22"/>
      <c r="M78" s="22"/>
    </row>
    <row r="79" spans="1:13" x14ac:dyDescent="0.3">
      <c r="A79" s="21" t="s">
        <v>209</v>
      </c>
      <c r="B79" s="21" t="s">
        <v>210</v>
      </c>
      <c r="C79" s="22"/>
      <c r="D79" s="22">
        <v>20.53</v>
      </c>
      <c r="E79" s="22"/>
      <c r="F79" s="22"/>
      <c r="G79" s="22"/>
      <c r="H79" s="22"/>
      <c r="I79" s="22"/>
      <c r="J79" s="22"/>
      <c r="K79" s="21"/>
      <c r="L79" s="22"/>
      <c r="M79" s="22"/>
    </row>
    <row r="80" spans="1:13" x14ac:dyDescent="0.3">
      <c r="A80" s="21"/>
      <c r="B80" s="21"/>
      <c r="C80" s="22"/>
      <c r="D80" s="22"/>
      <c r="E80" s="22"/>
      <c r="F80" s="22"/>
      <c r="G80" s="22"/>
      <c r="H80" s="22"/>
      <c r="I80" s="22"/>
      <c r="J80" s="22"/>
      <c r="K80" s="21"/>
      <c r="L80" s="22"/>
      <c r="M80" s="22"/>
    </row>
    <row r="81" spans="1:16" x14ac:dyDescent="0.3">
      <c r="A81" s="21"/>
      <c r="B81" s="21"/>
      <c r="C81" s="22"/>
      <c r="D81" s="22"/>
      <c r="E81" s="22"/>
      <c r="F81" s="22"/>
      <c r="G81" s="22"/>
      <c r="H81" s="22"/>
      <c r="I81" s="22"/>
      <c r="J81" s="22"/>
      <c r="K81" s="21"/>
      <c r="L81" s="22"/>
      <c r="M81" s="22"/>
    </row>
    <row r="82" spans="1:16" x14ac:dyDescent="0.3">
      <c r="H82" s="4"/>
      <c r="I82" s="4"/>
      <c r="J82" s="4"/>
      <c r="K82" s="2"/>
      <c r="L82" s="4"/>
      <c r="M82" s="4"/>
    </row>
    <row r="83" spans="1:16" x14ac:dyDescent="0.3">
      <c r="P83" t="s">
        <v>216</v>
      </c>
    </row>
    <row r="84" spans="1:16" x14ac:dyDescent="0.3">
      <c r="A84" s="20" t="s">
        <v>193</v>
      </c>
      <c r="B84" s="2" t="s">
        <v>194</v>
      </c>
      <c r="C84" s="8" t="s">
        <v>197</v>
      </c>
      <c r="D84" s="8" t="s">
        <v>198</v>
      </c>
      <c r="E84" s="23" t="s">
        <v>215</v>
      </c>
      <c r="F84" s="4" t="s">
        <v>204</v>
      </c>
      <c r="G84" s="8" t="s">
        <v>205</v>
      </c>
      <c r="H84" s="4" t="s">
        <v>199</v>
      </c>
      <c r="I84" s="4" t="s">
        <v>200</v>
      </c>
      <c r="J84" s="4" t="s">
        <v>201</v>
      </c>
      <c r="K84" s="2" t="s">
        <v>202</v>
      </c>
      <c r="L84" s="4" t="s">
        <v>203</v>
      </c>
      <c r="N84" t="s">
        <v>214</v>
      </c>
      <c r="O84">
        <f>(4*F37)+(2*C85)+(2*D85)+(E85*4)+11*(C69*0.8)+F36</f>
        <v>150333.99059999999</v>
      </c>
      <c r="P84">
        <f>(2*C85)+(2*D85)+(E85*4)+11*(C69*0.8)+F36</f>
        <v>141103.43059999999</v>
      </c>
    </row>
    <row r="85" spans="1:16" x14ac:dyDescent="0.3">
      <c r="A85" s="2" t="s">
        <v>154</v>
      </c>
      <c r="B85" s="2" t="s">
        <v>156</v>
      </c>
      <c r="C85" s="4">
        <f>F6+F20</f>
        <v>23574.016</v>
      </c>
      <c r="D85" s="4">
        <f>F10+F22</f>
        <v>36499.2693</v>
      </c>
      <c r="E85" s="4">
        <f>F2</f>
        <v>2928.5</v>
      </c>
      <c r="F85" s="4">
        <f>(Tabelle2[[#This Row],[Mittelmodul]]+Tabelle2[[#This Row],[Abschlussmodul]]+Tabelle2[[#This Row],[Zusatzkosten/Modul]])*20/100</f>
        <v>12600.35706</v>
      </c>
      <c r="G85" s="4">
        <f>(Tabelle2[[#This Row],[Mittelmodul]]+Tabelle2[[#This Row],[Abschlussmodul]]+Tabelle2[[#This Row],[Zusatzkosten/Modul]])*10/100</f>
        <v>6300.1785300000001</v>
      </c>
      <c r="H85" s="4">
        <f>(2*Tabelle2[[#This Row],[Abschlussmodul]])+(2*Tabelle2[[#This Row],[Mittelmodul]])+(4*Tabelle2[[#This Row],[Zusatzkosten/Modul]])+Tabelle2[[#This Row],[UST 20%]]+Tabelle2[[#This Row],[Zuschlag Gew.]]</f>
        <v>150761.10619000002</v>
      </c>
      <c r="I85" s="4">
        <f>(2*Tabelle2[[#This Row],[Abschlussmodul]])+(3*Tabelle2[[#This Row],[Mittelmodul]])+(5*Tabelle2[[#This Row],[Zusatzkosten/Modul]])+Tabelle2[[#This Row],[UST 20%]]+Tabelle2[[#This Row],[Zuschlag Gew.]]</f>
        <v>177263.62218999999</v>
      </c>
      <c r="J85" s="4">
        <f>(2*Tabelle2[[#This Row],[Abschlussmodul]])+(4*Tabelle2[[#This Row],[Mittelmodul]])+(6*Tabelle2[[#This Row],[Zusatzkosten/Modul]])+Tabelle2[[#This Row],[UST 20%]]+Tabelle2[[#This Row],[Zuschlag Gew.]]</f>
        <v>203766.13819</v>
      </c>
      <c r="K85" s="1">
        <f>(2*Tabelle2[[#This Row],[Abschlussmodul]])+(5*Tabelle2[[#This Row],[Mittelmodul]])+(7*Tabelle2[[#This Row],[Zusatzkosten/Modul]])+Tabelle2[[#This Row],[UST 20%]]+Tabelle2[[#This Row],[Zuschlag Gew.]]</f>
        <v>230268.65419</v>
      </c>
      <c r="L85">
        <f>(2*Tabelle2[[#This Row],[Abschlussmodul]])+(6*Tabelle2[[#This Row],[Mittelmodul]])+(8*Tabelle2[[#This Row],[Zusatzkosten/Modul]])+Tabelle2[[#This Row],[UST 20%]]+Tabelle2[[#This Row],[Zuschlag Gew.]]</f>
        <v>256771.17019</v>
      </c>
      <c r="N85" t="s">
        <v>206</v>
      </c>
      <c r="O85">
        <f>O84*0.2</f>
        <v>30066.798119999999</v>
      </c>
      <c r="P85">
        <f>P84*0.2</f>
        <v>28220.686119999998</v>
      </c>
    </row>
    <row r="86" spans="1:16" x14ac:dyDescent="0.3">
      <c r="B86" s="2" t="s">
        <v>157</v>
      </c>
      <c r="C86" s="4">
        <f>F6+F20+F33</f>
        <v>25766.62</v>
      </c>
      <c r="D86" s="4">
        <f>F10+F22+F33</f>
        <v>38691.873299999999</v>
      </c>
      <c r="E86" s="4">
        <f>F2</f>
        <v>2928.5</v>
      </c>
      <c r="F86" s="4">
        <f>(Tabelle2[[#This Row],[Mittelmodul]]+Tabelle2[[#This Row],[Abschlussmodul]]+Tabelle2[[#This Row],[Zusatzkosten/Modul]])*20/100</f>
        <v>13477.398659999999</v>
      </c>
      <c r="G86" s="4">
        <f>(Tabelle2[[#This Row],[Mittelmodul]]+Tabelle2[[#This Row],[Abschlussmodul]]+Tabelle2[[#This Row],[Zusatzkosten/Modul]])*10/100</f>
        <v>6738.6993299999995</v>
      </c>
      <c r="H86" s="4">
        <f>(2*Tabelle2[[#This Row],[Abschlussmodul]])+(2*Tabelle2[[#This Row],[Mittelmodul]])+(4*Tabelle2[[#This Row],[Zusatzkosten/Modul]])+Tabelle2[[#This Row],[UST 20%]]+Tabelle2[[#This Row],[Zuschlag Gew.]]</f>
        <v>160847.08459000001</v>
      </c>
      <c r="I86" s="4">
        <f>(2*Tabelle2[[#This Row],[Abschlussmodul]])+(3*Tabelle2[[#This Row],[Mittelmodul]])+(5*Tabelle2[[#This Row],[Zusatzkosten/Modul]])+Tabelle2[[#This Row],[UST 20%]]+Tabelle2[[#This Row],[Zuschlag Gew.]]</f>
        <v>189542.20459000001</v>
      </c>
      <c r="J86" s="4">
        <f>(2*Tabelle2[[#This Row],[Abschlussmodul]])+(4*Tabelle2[[#This Row],[Mittelmodul]])+(6*Tabelle2[[#This Row],[Zusatzkosten/Modul]])+Tabelle2[[#This Row],[UST 20%]]+Tabelle2[[#This Row],[Zuschlag Gew.]]</f>
        <v>218237.32459</v>
      </c>
      <c r="K86" s="1">
        <f>(2*Tabelle2[[#This Row],[Abschlussmodul]])+(5*Tabelle2[[#This Row],[Mittelmodul]])+(7*Tabelle2[[#This Row],[Zusatzkosten/Modul]])+Tabelle2[[#This Row],[UST 20%]]+Tabelle2[[#This Row],[Zuschlag Gew.]]</f>
        <v>246932.44459</v>
      </c>
      <c r="L86">
        <f>(2*Tabelle2[[#This Row],[Abschlussmodul]])+(6*Tabelle2[[#This Row],[Mittelmodul]])+(8*Tabelle2[[#This Row],[Zusatzkosten/Modul]])+Tabelle2[[#This Row],[UST 20%]]+Tabelle2[[#This Row],[Zuschlag Gew.]]</f>
        <v>275627.56458999997</v>
      </c>
      <c r="N86" t="s">
        <v>213</v>
      </c>
      <c r="O86">
        <f>O84*0.1</f>
        <v>15033.39906</v>
      </c>
      <c r="P86">
        <f>P84*0.1</f>
        <v>14110.343059999999</v>
      </c>
    </row>
    <row r="87" spans="1:16" x14ac:dyDescent="0.3">
      <c r="B87" s="2" t="s">
        <v>158</v>
      </c>
      <c r="E87" s="4">
        <f>F2</f>
        <v>2928.5</v>
      </c>
      <c r="F87" s="4">
        <f>(Tabelle2[[#This Row],[Mittelmodul]]+Tabelle2[[#This Row],[Abschlussmodul]]+Tabelle2[[#This Row],[Zusatzkosten/Modul]])*20/100</f>
        <v>585.70000000000005</v>
      </c>
      <c r="G87" s="4">
        <f>(Tabelle2[[#This Row],[Mittelmodul]]+Tabelle2[[#This Row],[Abschlussmodul]]+Tabelle2[[#This Row],[Zusatzkosten/Modul]])*10/100</f>
        <v>292.85000000000002</v>
      </c>
      <c r="H87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87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87" s="4">
        <f>(2*Tabelle2[[#This Row],[Abschlussmodul]])+(4*Tabelle2[[#This Row],[Mittelmodul]])+(6*Tabelle2[[#This Row],[Zusatzkosten/Modul]])+Tabelle2[[#This Row],[UST 20%]]+Tabelle2[[#This Row],[Zuschlag Gew.]]</f>
        <v>18449.55</v>
      </c>
      <c r="K87" s="1">
        <f>(2*Tabelle2[[#This Row],[Abschlussmodul]])+(5*Tabelle2[[#This Row],[Mittelmodul]])+(7*Tabelle2[[#This Row],[Zusatzkosten/Modul]])+Tabelle2[[#This Row],[UST 20%]]+Tabelle2[[#This Row],[Zuschlag Gew.]]</f>
        <v>21378.05</v>
      </c>
      <c r="L87">
        <f>(2*Tabelle2[[#This Row],[Abschlussmodul]])+(6*Tabelle2[[#This Row],[Mittelmodul]])+(8*Tabelle2[[#This Row],[Zusatzkosten/Modul]])+Tabelle2[[#This Row],[UST 20%]]+Tabelle2[[#This Row],[Zuschlag Gew.]]</f>
        <v>24306.55</v>
      </c>
      <c r="N87" t="s">
        <v>212</v>
      </c>
      <c r="O87">
        <f>O84+O85+O86</f>
        <v>195434.18777999998</v>
      </c>
      <c r="P87">
        <f>P84+P85+P86</f>
        <v>183434.45977999998</v>
      </c>
    </row>
    <row r="88" spans="1:16" x14ac:dyDescent="0.3">
      <c r="B88" s="2" t="s">
        <v>159</v>
      </c>
      <c r="E88" s="4">
        <f>F2</f>
        <v>2928.5</v>
      </c>
      <c r="F88" s="4">
        <f>(Tabelle2[[#This Row],[Mittelmodul]]+Tabelle2[[#This Row],[Abschlussmodul]]+Tabelle2[[#This Row],[Zusatzkosten/Modul]])*20/100</f>
        <v>585.70000000000005</v>
      </c>
      <c r="G88" s="4">
        <f>(Tabelle2[[#This Row],[Mittelmodul]]+Tabelle2[[#This Row],[Abschlussmodul]]+Tabelle2[[#This Row],[Zusatzkosten/Modul]])*10/100</f>
        <v>292.85000000000002</v>
      </c>
      <c r="H88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88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88" s="4">
        <f>(2*Tabelle2[[#This Row],[Abschlussmodul]])+(4*Tabelle2[[#This Row],[Mittelmodul]])+(6*Tabelle2[[#This Row],[Zusatzkosten/Modul]])+Tabelle2[[#This Row],[UST 20%]]+Tabelle2[[#This Row],[Zuschlag Gew.]]</f>
        <v>18449.55</v>
      </c>
      <c r="K88" s="1">
        <f>(2*Tabelle2[[#This Row],[Abschlussmodul]])+(5*Tabelle2[[#This Row],[Mittelmodul]])+(7*Tabelle2[[#This Row],[Zusatzkosten/Modul]])+Tabelle2[[#This Row],[UST 20%]]+Tabelle2[[#This Row],[Zuschlag Gew.]]</f>
        <v>21378.05</v>
      </c>
      <c r="L88">
        <f>(2*Tabelle2[[#This Row],[Abschlussmodul]])+(6*Tabelle2[[#This Row],[Mittelmodul]])+(8*Tabelle2[[#This Row],[Zusatzkosten/Modul]])+Tabelle2[[#This Row],[UST 20%]]+Tabelle2[[#This Row],[Zuschlag Gew.]]</f>
        <v>24306.55</v>
      </c>
      <c r="N88" t="s">
        <v>217</v>
      </c>
      <c r="O88">
        <f>O87/107</f>
        <v>1826.4877362616821</v>
      </c>
      <c r="P88">
        <f>P87/75</f>
        <v>2445.7927970666665</v>
      </c>
    </row>
    <row r="89" spans="1:16" x14ac:dyDescent="0.3">
      <c r="B89" s="2" t="s">
        <v>164</v>
      </c>
      <c r="C89" s="4">
        <f>F6+F25</f>
        <v>24808.461900000002</v>
      </c>
      <c r="D89" s="4">
        <f>F10+F27</f>
        <v>38714.5213</v>
      </c>
      <c r="E89" s="4">
        <f>F2</f>
        <v>2928.5</v>
      </c>
      <c r="F89" s="4">
        <f>(Tabelle2[[#This Row],[Mittelmodul]]+Tabelle2[[#This Row],[Abschlussmodul]]+Tabelle2[[#This Row],[Zusatzkosten/Modul]])*20/100</f>
        <v>13290.29664</v>
      </c>
      <c r="G89" s="4">
        <f>(Tabelle2[[#This Row],[Mittelmodul]]+Tabelle2[[#This Row],[Abschlussmodul]]+Tabelle2[[#This Row],[Zusatzkosten/Modul]])*10/100</f>
        <v>6645.1483200000002</v>
      </c>
      <c r="H89" s="4">
        <f>(2*Tabelle2[[#This Row],[Abschlussmodul]])+(2*Tabelle2[[#This Row],[Mittelmodul]])+(4*Tabelle2[[#This Row],[Zusatzkosten/Modul]])+Tabelle2[[#This Row],[UST 20%]]+Tabelle2[[#This Row],[Zuschlag Gew.]]</f>
        <v>158695.41136</v>
      </c>
      <c r="I89" s="4">
        <f>(2*Tabelle2[[#This Row],[Abschlussmodul]])+(3*Tabelle2[[#This Row],[Mittelmodul]])+(5*Tabelle2[[#This Row],[Zusatzkosten/Modul]])+Tabelle2[[#This Row],[UST 20%]]+Tabelle2[[#This Row],[Zuschlag Gew.]]</f>
        <v>186432.37326000005</v>
      </c>
      <c r="J89" s="4">
        <f>(2*Tabelle2[[#This Row],[Abschlussmodul]])+(4*Tabelle2[[#This Row],[Mittelmodul]])+(6*Tabelle2[[#This Row],[Zusatzkosten/Modul]])+Tabelle2[[#This Row],[UST 20%]]+Tabelle2[[#This Row],[Zuschlag Gew.]]</f>
        <v>214169.33516000005</v>
      </c>
      <c r="K89" s="1">
        <f>(2*Tabelle2[[#This Row],[Abschlussmodul]])+(5*Tabelle2[[#This Row],[Mittelmodul]])+(7*Tabelle2[[#This Row],[Zusatzkosten/Modul]])+Tabelle2[[#This Row],[UST 20%]]+Tabelle2[[#This Row],[Zuschlag Gew.]]</f>
        <v>241906.29706000004</v>
      </c>
      <c r="L89">
        <f>(2*Tabelle2[[#This Row],[Abschlussmodul]])+(6*Tabelle2[[#This Row],[Mittelmodul]])+(8*Tabelle2[[#This Row],[Zusatzkosten/Modul]])+Tabelle2[[#This Row],[UST 20%]]+Tabelle2[[#This Row],[Zuschlag Gew.]]</f>
        <v>269643.25896000001</v>
      </c>
    </row>
    <row r="90" spans="1:16" x14ac:dyDescent="0.3">
      <c r="B90" s="2" t="s">
        <v>165</v>
      </c>
      <c r="C90" s="4">
        <f>F6+F25+F33</f>
        <v>27001.065900000001</v>
      </c>
      <c r="D90" s="4">
        <f>F10+F27+F33</f>
        <v>40907.1253</v>
      </c>
      <c r="E90" s="4">
        <f>F2</f>
        <v>2928.5</v>
      </c>
      <c r="F90" s="4">
        <f>(Tabelle2[[#This Row],[Mittelmodul]]+Tabelle2[[#This Row],[Abschlussmodul]]+Tabelle2[[#This Row],[Zusatzkosten/Modul]])*20/100</f>
        <v>14167.338240000001</v>
      </c>
      <c r="G90" s="4">
        <f>(Tabelle2[[#This Row],[Mittelmodul]]+Tabelle2[[#This Row],[Abschlussmodul]]+Tabelle2[[#This Row],[Zusatzkosten/Modul]])*10/100</f>
        <v>7083.6691200000005</v>
      </c>
      <c r="H90" s="4">
        <f>(2*Tabelle2[[#This Row],[Abschlussmodul]])+(2*Tabelle2[[#This Row],[Mittelmodul]])+(4*Tabelle2[[#This Row],[Zusatzkosten/Modul]])+Tabelle2[[#This Row],[UST 20%]]+Tabelle2[[#This Row],[Zuschlag Gew.]]</f>
        <v>168781.38976000002</v>
      </c>
      <c r="I90" s="4">
        <f>(2*Tabelle2[[#This Row],[Abschlussmodul]])+(3*Tabelle2[[#This Row],[Mittelmodul]])+(5*Tabelle2[[#This Row],[Zusatzkosten/Modul]])+Tabelle2[[#This Row],[UST 20%]]+Tabelle2[[#This Row],[Zuschlag Gew.]]</f>
        <v>198710.95566000001</v>
      </c>
      <c r="J90" s="4">
        <f>(2*Tabelle2[[#This Row],[Abschlussmodul]])+(4*Tabelle2[[#This Row],[Mittelmodul]])+(6*Tabelle2[[#This Row],[Zusatzkosten/Modul]])+Tabelle2[[#This Row],[UST 20%]]+Tabelle2[[#This Row],[Zuschlag Gew.]]</f>
        <v>228640.52156000002</v>
      </c>
      <c r="K90" s="1">
        <f>(2*Tabelle2[[#This Row],[Abschlussmodul]])+(5*Tabelle2[[#This Row],[Mittelmodul]])+(7*Tabelle2[[#This Row],[Zusatzkosten/Modul]])+Tabelle2[[#This Row],[UST 20%]]+Tabelle2[[#This Row],[Zuschlag Gew.]]</f>
        <v>258570.08746000001</v>
      </c>
      <c r="L90">
        <f>(2*Tabelle2[[#This Row],[Abschlussmodul]])+(6*Tabelle2[[#This Row],[Mittelmodul]])+(8*Tabelle2[[#This Row],[Zusatzkosten/Modul]])+Tabelle2[[#This Row],[UST 20%]]+Tabelle2[[#This Row],[Zuschlag Gew.]]</f>
        <v>288499.65336</v>
      </c>
    </row>
    <row r="91" spans="1:16" x14ac:dyDescent="0.3">
      <c r="B91" s="2" t="s">
        <v>166</v>
      </c>
      <c r="E91" s="4">
        <f>F2</f>
        <v>2928.5</v>
      </c>
      <c r="F91" s="4">
        <f>(Tabelle2[[#This Row],[Mittelmodul]]+Tabelle2[[#This Row],[Abschlussmodul]]+Tabelle2[[#This Row],[Zusatzkosten/Modul]])*20/100</f>
        <v>585.70000000000005</v>
      </c>
      <c r="G91" s="4">
        <f>(Tabelle2[[#This Row],[Mittelmodul]]+Tabelle2[[#This Row],[Abschlussmodul]]+Tabelle2[[#This Row],[Zusatzkosten/Modul]])*10/100</f>
        <v>292.85000000000002</v>
      </c>
      <c r="H91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91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91" s="4">
        <f>(2*Tabelle2[[#This Row],[Abschlussmodul]])+(4*Tabelle2[[#This Row],[Mittelmodul]])+(6*Tabelle2[[#This Row],[Zusatzkosten/Modul]])+Tabelle2[[#This Row],[UST 20%]]+Tabelle2[[#This Row],[Zuschlag Gew.]]</f>
        <v>18449.55</v>
      </c>
      <c r="K91" s="1">
        <f>(2*Tabelle2[[#This Row],[Abschlussmodul]])+(5*Tabelle2[[#This Row],[Mittelmodul]])+(7*Tabelle2[[#This Row],[Zusatzkosten/Modul]])+Tabelle2[[#This Row],[UST 20%]]+Tabelle2[[#This Row],[Zuschlag Gew.]]</f>
        <v>21378.05</v>
      </c>
      <c r="L91">
        <f>(2*Tabelle2[[#This Row],[Abschlussmodul]])+(6*Tabelle2[[#This Row],[Mittelmodul]])+(8*Tabelle2[[#This Row],[Zusatzkosten/Modul]])+Tabelle2[[#This Row],[UST 20%]]+Tabelle2[[#This Row],[Zuschlag Gew.]]</f>
        <v>24306.55</v>
      </c>
    </row>
    <row r="92" spans="1:16" x14ac:dyDescent="0.3">
      <c r="B92" s="2" t="s">
        <v>167</v>
      </c>
      <c r="E92" s="4">
        <f>F2</f>
        <v>2928.5</v>
      </c>
      <c r="F92" s="4">
        <f>(Tabelle2[[#This Row],[Mittelmodul]]+Tabelle2[[#This Row],[Abschlussmodul]]+Tabelle2[[#This Row],[Zusatzkosten/Modul]])*20/100</f>
        <v>585.70000000000005</v>
      </c>
      <c r="G92" s="4">
        <f>(Tabelle2[[#This Row],[Mittelmodul]]+Tabelle2[[#This Row],[Abschlussmodul]]+Tabelle2[[#This Row],[Zusatzkosten/Modul]])*10/100</f>
        <v>292.85000000000002</v>
      </c>
      <c r="H92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92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92" s="4">
        <f>(2*Tabelle2[[#This Row],[Abschlussmodul]])+(4*Tabelle2[[#This Row],[Mittelmodul]])+(6*Tabelle2[[#This Row],[Zusatzkosten/Modul]])+Tabelle2[[#This Row],[UST 20%]]+Tabelle2[[#This Row],[Zuschlag Gew.]]</f>
        <v>18449.55</v>
      </c>
      <c r="K92" s="1">
        <f>(2*Tabelle2[[#This Row],[Abschlussmodul]])+(5*Tabelle2[[#This Row],[Mittelmodul]])+(7*Tabelle2[[#This Row],[Zusatzkosten/Modul]])+Tabelle2[[#This Row],[UST 20%]]+Tabelle2[[#This Row],[Zuschlag Gew.]]</f>
        <v>21378.05</v>
      </c>
      <c r="L92">
        <f>(2*Tabelle2[[#This Row],[Abschlussmodul]])+(6*Tabelle2[[#This Row],[Mittelmodul]])+(8*Tabelle2[[#This Row],[Zusatzkosten/Modul]])+Tabelle2[[#This Row],[UST 20%]]+Tabelle2[[#This Row],[Zuschlag Gew.]]</f>
        <v>24306.55</v>
      </c>
    </row>
    <row r="93" spans="1:16" x14ac:dyDescent="0.3">
      <c r="B93" s="2" t="s">
        <v>168</v>
      </c>
      <c r="C93" s="4">
        <f>F6+F30</f>
        <v>24104.409599999999</v>
      </c>
      <c r="D93" s="4">
        <f>F10+F32</f>
        <v>37451.077300000004</v>
      </c>
      <c r="E93" s="4">
        <f>F2</f>
        <v>2928.5</v>
      </c>
      <c r="F93" s="4">
        <f>(Tabelle2[[#This Row],[Mittelmodul]]+Tabelle2[[#This Row],[Abschlussmodul]]+Tabelle2[[#This Row],[Zusatzkosten/Modul]])*20/100</f>
        <v>12896.797380000002</v>
      </c>
      <c r="G93" s="4">
        <f>(Tabelle2[[#This Row],[Mittelmodul]]+Tabelle2[[#This Row],[Abschlussmodul]]+Tabelle2[[#This Row],[Zusatzkosten/Modul]])*10/100</f>
        <v>6448.3986900000009</v>
      </c>
      <c r="H93" s="4">
        <f>(2*Tabelle2[[#This Row],[Abschlussmodul]])+(2*Tabelle2[[#This Row],[Mittelmodul]])+(4*Tabelle2[[#This Row],[Zusatzkosten/Modul]])+Tabelle2[[#This Row],[UST 20%]]+Tabelle2[[#This Row],[Zuschlag Gew.]]</f>
        <v>154170.16987000001</v>
      </c>
      <c r="I93" s="4">
        <f>(2*Tabelle2[[#This Row],[Abschlussmodul]])+(3*Tabelle2[[#This Row],[Mittelmodul]])+(5*Tabelle2[[#This Row],[Zusatzkosten/Modul]])+Tabelle2[[#This Row],[UST 20%]]+Tabelle2[[#This Row],[Zuschlag Gew.]]</f>
        <v>181203.07947</v>
      </c>
      <c r="J93" s="4">
        <f>(2*Tabelle2[[#This Row],[Abschlussmodul]])+(4*Tabelle2[[#This Row],[Mittelmodul]])+(6*Tabelle2[[#This Row],[Zusatzkosten/Modul]])+Tabelle2[[#This Row],[UST 20%]]+Tabelle2[[#This Row],[Zuschlag Gew.]]</f>
        <v>208235.98907000001</v>
      </c>
      <c r="K93" s="1">
        <f>(2*Tabelle2[[#This Row],[Abschlussmodul]])+(5*Tabelle2[[#This Row],[Mittelmodul]])+(7*Tabelle2[[#This Row],[Zusatzkosten/Modul]])+Tabelle2[[#This Row],[UST 20%]]+Tabelle2[[#This Row],[Zuschlag Gew.]]</f>
        <v>235268.89867000002</v>
      </c>
      <c r="L93">
        <f>(2*Tabelle2[[#This Row],[Abschlussmodul]])+(6*Tabelle2[[#This Row],[Mittelmodul]])+(8*Tabelle2[[#This Row],[Zusatzkosten/Modul]])+Tabelle2[[#This Row],[UST 20%]]+Tabelle2[[#This Row],[Zuschlag Gew.]]</f>
        <v>262301.80826999998</v>
      </c>
    </row>
    <row r="94" spans="1:16" x14ac:dyDescent="0.3">
      <c r="B94" s="2" t="s">
        <v>169</v>
      </c>
      <c r="C94" s="4">
        <f>F6+F30+F33</f>
        <v>26297.013599999998</v>
      </c>
      <c r="D94" s="4">
        <f>F6+F32+F33</f>
        <v>28987.421300000002</v>
      </c>
      <c r="E94" s="4">
        <f>F2</f>
        <v>2928.5</v>
      </c>
      <c r="F94" s="4">
        <f>(Tabelle2[[#This Row],[Mittelmodul]]+Tabelle2[[#This Row],[Abschlussmodul]]+Tabelle2[[#This Row],[Zusatzkosten/Modul]])*20/100</f>
        <v>11642.58698</v>
      </c>
      <c r="G94" s="4">
        <f>(Tabelle2[[#This Row],[Mittelmodul]]+Tabelle2[[#This Row],[Abschlussmodul]]+Tabelle2[[#This Row],[Zusatzkosten/Modul]])*10/100</f>
        <v>5821.29349</v>
      </c>
      <c r="H94" s="4">
        <f>(2*Tabelle2[[#This Row],[Abschlussmodul]])+(2*Tabelle2[[#This Row],[Mittelmodul]])+(4*Tabelle2[[#This Row],[Zusatzkosten/Modul]])+Tabelle2[[#This Row],[UST 20%]]+Tabelle2[[#This Row],[Zuschlag Gew.]]</f>
        <v>139746.75027000002</v>
      </c>
      <c r="I94" s="4">
        <f>(2*Tabelle2[[#This Row],[Abschlussmodul]])+(3*Tabelle2[[#This Row],[Mittelmodul]])+(5*Tabelle2[[#This Row],[Zusatzkosten/Modul]])+Tabelle2[[#This Row],[UST 20%]]+Tabelle2[[#This Row],[Zuschlag Gew.]]</f>
        <v>168972.26387</v>
      </c>
      <c r="J94" s="4">
        <f>(2*Tabelle2[[#This Row],[Abschlussmodul]])+(4*Tabelle2[[#This Row],[Mittelmodul]])+(6*Tabelle2[[#This Row],[Zusatzkosten/Modul]])+Tabelle2[[#This Row],[UST 20%]]+Tabelle2[[#This Row],[Zuschlag Gew.]]</f>
        <v>198197.77747</v>
      </c>
      <c r="K94" s="1">
        <f>(2*Tabelle2[[#This Row],[Abschlussmodul]])+(5*Tabelle2[[#This Row],[Mittelmodul]])+(7*Tabelle2[[#This Row],[Zusatzkosten/Modul]])+Tabelle2[[#This Row],[UST 20%]]+Tabelle2[[#This Row],[Zuschlag Gew.]]</f>
        <v>227423.29107000001</v>
      </c>
      <c r="L94">
        <f>(2*Tabelle2[[#This Row],[Abschlussmodul]])+(6*Tabelle2[[#This Row],[Mittelmodul]])+(8*Tabelle2[[#This Row],[Zusatzkosten/Modul]])+Tabelle2[[#This Row],[UST 20%]]+Tabelle2[[#This Row],[Zuschlag Gew.]]</f>
        <v>256648.80466999998</v>
      </c>
    </row>
    <row r="95" spans="1:16" x14ac:dyDescent="0.3">
      <c r="B95" s="2" t="s">
        <v>170</v>
      </c>
      <c r="E95" s="4">
        <f>F2</f>
        <v>2928.5</v>
      </c>
      <c r="F95" s="4">
        <f>(Tabelle2[[#This Row],[Mittelmodul]]+Tabelle2[[#This Row],[Abschlussmodul]]+Tabelle2[[#This Row],[Zusatzkosten/Modul]])*20/100</f>
        <v>585.70000000000005</v>
      </c>
      <c r="G95" s="4">
        <f>(Tabelle2[[#This Row],[Mittelmodul]]+Tabelle2[[#This Row],[Abschlussmodul]]+Tabelle2[[#This Row],[Zusatzkosten/Modul]])*10/100</f>
        <v>292.85000000000002</v>
      </c>
      <c r="H95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95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95" s="4">
        <f>(2*Tabelle2[[#This Row],[Abschlussmodul]])+(4*Tabelle2[[#This Row],[Mittelmodul]])+(6*Tabelle2[[#This Row],[Zusatzkosten/Modul]])+Tabelle2[[#This Row],[UST 20%]]+Tabelle2[[#This Row],[Zuschlag Gew.]]</f>
        <v>18449.55</v>
      </c>
      <c r="K95" s="1">
        <f>(2*Tabelle2[[#This Row],[Abschlussmodul]])+(5*Tabelle2[[#This Row],[Mittelmodul]])+(7*Tabelle2[[#This Row],[Zusatzkosten/Modul]])+Tabelle2[[#This Row],[UST 20%]]+Tabelle2[[#This Row],[Zuschlag Gew.]]</f>
        <v>21378.05</v>
      </c>
      <c r="L95">
        <f>(2*Tabelle2[[#This Row],[Abschlussmodul]])+(6*Tabelle2[[#This Row],[Mittelmodul]])+(8*Tabelle2[[#This Row],[Zusatzkosten/Modul]])+Tabelle2[[#This Row],[UST 20%]]+Tabelle2[[#This Row],[Zuschlag Gew.]]</f>
        <v>24306.55</v>
      </c>
    </row>
    <row r="96" spans="1:16" x14ac:dyDescent="0.3">
      <c r="B96" s="2" t="s">
        <v>171</v>
      </c>
      <c r="E96" s="4">
        <f>F2</f>
        <v>2928.5</v>
      </c>
      <c r="F96" s="4">
        <f>(Tabelle2[[#This Row],[Mittelmodul]]+Tabelle2[[#This Row],[Abschlussmodul]]+Tabelle2[[#This Row],[Zusatzkosten/Modul]])*20/100</f>
        <v>585.70000000000005</v>
      </c>
      <c r="G96" s="4">
        <f>(Tabelle2[[#This Row],[Mittelmodul]]+Tabelle2[[#This Row],[Abschlussmodul]]+Tabelle2[[#This Row],[Zusatzkosten/Modul]])*10/100</f>
        <v>292.85000000000002</v>
      </c>
      <c r="H96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96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96" s="4">
        <f>(2*Tabelle2[[#This Row],[Abschlussmodul]])+(4*Tabelle2[[#This Row],[Mittelmodul]])+(6*Tabelle2[[#This Row],[Zusatzkosten/Modul]])+Tabelle2[[#This Row],[UST 20%]]+Tabelle2[[#This Row],[Zuschlag Gew.]]</f>
        <v>18449.55</v>
      </c>
      <c r="K96" s="1">
        <f>(2*Tabelle2[[#This Row],[Abschlussmodul]])+(5*Tabelle2[[#This Row],[Mittelmodul]])+(7*Tabelle2[[#This Row],[Zusatzkosten/Modul]])+Tabelle2[[#This Row],[UST 20%]]+Tabelle2[[#This Row],[Zuschlag Gew.]]</f>
        <v>21378.05</v>
      </c>
      <c r="L96">
        <f>(2*Tabelle2[[#This Row],[Abschlussmodul]])+(6*Tabelle2[[#This Row],[Mittelmodul]])+(8*Tabelle2[[#This Row],[Zusatzkosten/Modul]])+Tabelle2[[#This Row],[UST 20%]]+Tabelle2[[#This Row],[Zuschlag Gew.]]</f>
        <v>24306.55</v>
      </c>
    </row>
    <row r="97" spans="1:12" x14ac:dyDescent="0.3">
      <c r="A97" s="2" t="s">
        <v>155</v>
      </c>
      <c r="B97" s="2" t="s">
        <v>160</v>
      </c>
      <c r="C97" s="4">
        <f>F6+F20+F11</f>
        <v>30101.097999999998</v>
      </c>
      <c r="D97" s="4">
        <f>F10+F22+F12</f>
        <v>48896.791299999997</v>
      </c>
      <c r="E97" s="4">
        <f>F2</f>
        <v>2928.5</v>
      </c>
      <c r="F97" s="4">
        <f>(Tabelle2[[#This Row],[Mittelmodul]]+Tabelle2[[#This Row],[Abschlussmodul]]+Tabelle2[[#This Row],[Zusatzkosten/Modul]])*20/100</f>
        <v>16385.277859999998</v>
      </c>
      <c r="G97" s="4">
        <f>(Tabelle2[[#This Row],[Mittelmodul]]+Tabelle2[[#This Row],[Abschlussmodul]]+Tabelle2[[#This Row],[Zusatzkosten/Modul]])*10/100</f>
        <v>8192.6389299999992</v>
      </c>
      <c r="H97" s="4">
        <f>(2*Tabelle2[[#This Row],[Abschlussmodul]])+(2*Tabelle2[[#This Row],[Mittelmodul]])+(4*Tabelle2[[#This Row],[Zusatzkosten/Modul]])+Tabelle2[[#This Row],[UST 20%]]+Tabelle2[[#This Row],[Zuschlag Gew.]]</f>
        <v>194287.69538999998</v>
      </c>
      <c r="I97" s="4">
        <f>(2*Tabelle2[[#This Row],[Abschlussmodul]])+(3*Tabelle2[[#This Row],[Mittelmodul]])+(5*Tabelle2[[#This Row],[Zusatzkosten/Modul]])+Tabelle2[[#This Row],[UST 20%]]+Tabelle2[[#This Row],[Zuschlag Gew.]]</f>
        <v>227317.29338999998</v>
      </c>
      <c r="J97" s="4">
        <f>(2*Tabelle2[[#This Row],[Abschlussmodul]])+(4*Tabelle2[[#This Row],[Mittelmodul]])+(6*Tabelle2[[#This Row],[Zusatzkosten/Modul]])+Tabelle2[[#This Row],[UST 20%]]+Tabelle2[[#This Row],[Zuschlag Gew.]]</f>
        <v>260346.89138999998</v>
      </c>
      <c r="K97" s="1">
        <f>(2*Tabelle2[[#This Row],[Abschlussmodul]])+(5*Tabelle2[[#This Row],[Mittelmodul]])+(7*Tabelle2[[#This Row],[Zusatzkosten/Modul]])+Tabelle2[[#This Row],[UST 20%]]+Tabelle2[[#This Row],[Zuschlag Gew.]]</f>
        <v>293376.48938999994</v>
      </c>
      <c r="L97">
        <f>(2*Tabelle2[[#This Row],[Abschlussmodul]])+(6*Tabelle2[[#This Row],[Mittelmodul]])+(8*Tabelle2[[#This Row],[Zusatzkosten/Modul]])+Tabelle2[[#This Row],[UST 20%]]+Tabelle2[[#This Row],[Zuschlag Gew.]]</f>
        <v>326406.08738999994</v>
      </c>
    </row>
    <row r="98" spans="1:12" x14ac:dyDescent="0.3">
      <c r="B98" s="2" t="s">
        <v>161</v>
      </c>
      <c r="C98" s="4">
        <f>F6+F20+F11+F33</f>
        <v>32293.701999999997</v>
      </c>
      <c r="D98" s="4">
        <f>F10+F22+F12+F33</f>
        <v>51089.395299999996</v>
      </c>
      <c r="E98" s="4">
        <f>F2</f>
        <v>2928.5</v>
      </c>
      <c r="F98" s="4">
        <f>(Tabelle2[[#This Row],[Mittelmodul]]+Tabelle2[[#This Row],[Abschlussmodul]]+Tabelle2[[#This Row],[Zusatzkosten/Modul]])*20/100</f>
        <v>17262.319459999999</v>
      </c>
      <c r="G98" s="4">
        <f>(Tabelle2[[#This Row],[Mittelmodul]]+Tabelle2[[#This Row],[Abschlussmodul]]+Tabelle2[[#This Row],[Zusatzkosten/Modul]])*10/100</f>
        <v>8631.1597299999994</v>
      </c>
      <c r="H98" s="4">
        <f>(2*Tabelle2[[#This Row],[Abschlussmodul]])+(2*Tabelle2[[#This Row],[Mittelmodul]])+(4*Tabelle2[[#This Row],[Zusatzkosten/Modul]])+Tabelle2[[#This Row],[UST 20%]]+Tabelle2[[#This Row],[Zuschlag Gew.]]</f>
        <v>204373.67378999997</v>
      </c>
      <c r="I98" s="4">
        <f>(2*Tabelle2[[#This Row],[Abschlussmodul]])+(3*Tabelle2[[#This Row],[Mittelmodul]])+(5*Tabelle2[[#This Row],[Zusatzkosten/Modul]])+Tabelle2[[#This Row],[UST 20%]]+Tabelle2[[#This Row],[Zuschlag Gew.]]</f>
        <v>239595.87578999996</v>
      </c>
      <c r="J98" s="4">
        <f>(2*Tabelle2[[#This Row],[Abschlussmodul]])+(4*Tabelle2[[#This Row],[Mittelmodul]])+(6*Tabelle2[[#This Row],[Zusatzkosten/Modul]])+Tabelle2[[#This Row],[UST 20%]]+Tabelle2[[#This Row],[Zuschlag Gew.]]</f>
        <v>274818.07778999995</v>
      </c>
      <c r="K98" s="1">
        <f>(2*Tabelle2[[#This Row],[Abschlussmodul]])+(5*Tabelle2[[#This Row],[Mittelmodul]])+(7*Tabelle2[[#This Row],[Zusatzkosten/Modul]])+Tabelle2[[#This Row],[UST 20%]]+Tabelle2[[#This Row],[Zuschlag Gew.]]</f>
        <v>310040.27979</v>
      </c>
      <c r="L98">
        <f>(2*Tabelle2[[#This Row],[Abschlussmodul]])+(6*Tabelle2[[#This Row],[Mittelmodul]])+(8*Tabelle2[[#This Row],[Zusatzkosten/Modul]])+Tabelle2[[#This Row],[UST 20%]]+Tabelle2[[#This Row],[Zuschlag Gew.]]</f>
        <v>345262.48179000005</v>
      </c>
    </row>
    <row r="99" spans="1:12" x14ac:dyDescent="0.3">
      <c r="B99" s="2" t="s">
        <v>162</v>
      </c>
      <c r="E99" s="4">
        <f>F2</f>
        <v>2928.5</v>
      </c>
      <c r="F99" s="4">
        <f>(Tabelle2[[#This Row],[Mittelmodul]]+Tabelle2[[#This Row],[Abschlussmodul]]+Tabelle2[[#This Row],[Zusatzkosten/Modul]])*20/100</f>
        <v>585.70000000000005</v>
      </c>
      <c r="G99" s="4">
        <f>(Tabelle2[[#This Row],[Mittelmodul]]+Tabelle2[[#This Row],[Abschlussmodul]]+Tabelle2[[#This Row],[Zusatzkosten/Modul]])*10/100</f>
        <v>292.85000000000002</v>
      </c>
      <c r="H99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99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99" s="4">
        <f>(2*Tabelle2[[#This Row],[Abschlussmodul]])+(4*Tabelle2[[#This Row],[Mittelmodul]])+(6*Tabelle2[[#This Row],[Zusatzkosten/Modul]])+Tabelle2[[#This Row],[UST 20%]]+Tabelle2[[#This Row],[Zuschlag Gew.]]</f>
        <v>18449.55</v>
      </c>
      <c r="K99" s="1">
        <f>(2*Tabelle2[[#This Row],[Abschlussmodul]])+(5*Tabelle2[[#This Row],[Mittelmodul]])+(7*Tabelle2[[#This Row],[Zusatzkosten/Modul]])+Tabelle2[[#This Row],[UST 20%]]+Tabelle2[[#This Row],[Zuschlag Gew.]]</f>
        <v>21378.05</v>
      </c>
      <c r="L99">
        <f>(2*Tabelle2[[#This Row],[Abschlussmodul]])+(6*Tabelle2[[#This Row],[Mittelmodul]])+(8*Tabelle2[[#This Row],[Zusatzkosten/Modul]])+Tabelle2[[#This Row],[UST 20%]]+Tabelle2[[#This Row],[Zuschlag Gew.]]</f>
        <v>24306.55</v>
      </c>
    </row>
    <row r="100" spans="1:12" x14ac:dyDescent="0.3">
      <c r="B100" s="2" t="s">
        <v>163</v>
      </c>
      <c r="E100" s="4">
        <f>F2</f>
        <v>2928.5</v>
      </c>
      <c r="F100" s="4">
        <f>(Tabelle2[[#This Row],[Mittelmodul]]+Tabelle2[[#This Row],[Abschlussmodul]]+Tabelle2[[#This Row],[Zusatzkosten/Modul]])*20/100</f>
        <v>585.70000000000005</v>
      </c>
      <c r="G100" s="4">
        <f>(Tabelle2[[#This Row],[Mittelmodul]]+Tabelle2[[#This Row],[Abschlussmodul]]+Tabelle2[[#This Row],[Zusatzkosten/Modul]])*10/100</f>
        <v>292.85000000000002</v>
      </c>
      <c r="H100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00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00" s="4">
        <f>(2*Tabelle2[[#This Row],[Abschlussmodul]])+(4*Tabelle2[[#This Row],[Mittelmodul]])+(6*Tabelle2[[#This Row],[Zusatzkosten/Modul]])+Tabelle2[[#This Row],[UST 20%]]+Tabelle2[[#This Row],[Zuschlag Gew.]]</f>
        <v>18449.55</v>
      </c>
      <c r="K100" s="1">
        <f>(2*Tabelle2[[#This Row],[Abschlussmodul]])+(5*Tabelle2[[#This Row],[Mittelmodul]])+(7*Tabelle2[[#This Row],[Zusatzkosten/Modul]])+Tabelle2[[#This Row],[UST 20%]]+Tabelle2[[#This Row],[Zuschlag Gew.]]</f>
        <v>21378.05</v>
      </c>
      <c r="L100">
        <f>(2*Tabelle2[[#This Row],[Abschlussmodul]])+(6*Tabelle2[[#This Row],[Mittelmodul]])+(8*Tabelle2[[#This Row],[Zusatzkosten/Modul]])+Tabelle2[[#This Row],[UST 20%]]+Tabelle2[[#This Row],[Zuschlag Gew.]]</f>
        <v>24306.55</v>
      </c>
    </row>
    <row r="101" spans="1:12" x14ac:dyDescent="0.3">
      <c r="B101" s="2" t="s">
        <v>172</v>
      </c>
      <c r="C101" s="4">
        <f>F6+F25+F11</f>
        <v>31335.543900000004</v>
      </c>
      <c r="D101" s="4">
        <f>F10+F27+F12</f>
        <v>51112.043300000005</v>
      </c>
      <c r="E101" s="4">
        <f>F2</f>
        <v>2928.5</v>
      </c>
      <c r="F101" s="4">
        <f>(Tabelle2[[#This Row],[Mittelmodul]]+Tabelle2[[#This Row],[Abschlussmodul]]+Tabelle2[[#This Row],[Zusatzkosten/Modul]])*20/100</f>
        <v>17075.21744</v>
      </c>
      <c r="G101" s="4">
        <f>(Tabelle2[[#This Row],[Mittelmodul]]+Tabelle2[[#This Row],[Abschlussmodul]]+Tabelle2[[#This Row],[Zusatzkosten/Modul]])*10/100</f>
        <v>8537.6087200000002</v>
      </c>
      <c r="H101" s="4">
        <f>(2*Tabelle2[[#This Row],[Abschlussmodul]])+(2*Tabelle2[[#This Row],[Mittelmodul]])+(4*Tabelle2[[#This Row],[Zusatzkosten/Modul]])+Tabelle2[[#This Row],[UST 20%]]+Tabelle2[[#This Row],[Zuschlag Gew.]]</f>
        <v>202222.00056000001</v>
      </c>
      <c r="I101" s="4">
        <f>(2*Tabelle2[[#This Row],[Abschlussmodul]])+(3*Tabelle2[[#This Row],[Mittelmodul]])+(5*Tabelle2[[#This Row],[Zusatzkosten/Modul]])+Tabelle2[[#This Row],[UST 20%]]+Tabelle2[[#This Row],[Zuschlag Gew.]]</f>
        <v>236486.04446</v>
      </c>
      <c r="J101" s="4">
        <f>(2*Tabelle2[[#This Row],[Abschlussmodul]])+(4*Tabelle2[[#This Row],[Mittelmodul]])+(6*Tabelle2[[#This Row],[Zusatzkosten/Modul]])+Tabelle2[[#This Row],[UST 20%]]+Tabelle2[[#This Row],[Zuschlag Gew.]]</f>
        <v>270750.08836000005</v>
      </c>
      <c r="K101" s="1">
        <f>(2*Tabelle2[[#This Row],[Abschlussmodul]])+(5*Tabelle2[[#This Row],[Mittelmodul]])+(7*Tabelle2[[#This Row],[Zusatzkosten/Modul]])+Tabelle2[[#This Row],[UST 20%]]+Tabelle2[[#This Row],[Zuschlag Gew.]]</f>
        <v>305014.13226000004</v>
      </c>
      <c r="L101">
        <f>(2*Tabelle2[[#This Row],[Abschlussmodul]])+(6*Tabelle2[[#This Row],[Mittelmodul]])+(8*Tabelle2[[#This Row],[Zusatzkosten/Modul]])+Tabelle2[[#This Row],[UST 20%]]+Tabelle2[[#This Row],[Zuschlag Gew.]]</f>
        <v>339278.17616000003</v>
      </c>
    </row>
    <row r="102" spans="1:12" x14ac:dyDescent="0.3">
      <c r="B102" s="2" t="s">
        <v>173</v>
      </c>
      <c r="C102" s="4">
        <f>F6+F25+F11+F33</f>
        <v>33528.147900000004</v>
      </c>
      <c r="D102" s="4">
        <f>F10+F27+F12+F33</f>
        <v>53304.647300000004</v>
      </c>
      <c r="E102" s="4">
        <f>F2</f>
        <v>2928.5</v>
      </c>
      <c r="F102" s="4">
        <f>(Tabelle2[[#This Row],[Mittelmodul]]+Tabelle2[[#This Row],[Abschlussmodul]]+Tabelle2[[#This Row],[Zusatzkosten/Modul]])*20/100</f>
        <v>17952.259040000001</v>
      </c>
      <c r="G102" s="4">
        <f>(Tabelle2[[#This Row],[Mittelmodul]]+Tabelle2[[#This Row],[Abschlussmodul]]+Tabelle2[[#This Row],[Zusatzkosten/Modul]])*10/100</f>
        <v>8976.1295200000004</v>
      </c>
      <c r="H102" s="4">
        <f>(2*Tabelle2[[#This Row],[Abschlussmodul]])+(2*Tabelle2[[#This Row],[Mittelmodul]])+(4*Tabelle2[[#This Row],[Zusatzkosten/Modul]])+Tabelle2[[#This Row],[UST 20%]]+Tabelle2[[#This Row],[Zuschlag Gew.]]</f>
        <v>212307.97896000001</v>
      </c>
      <c r="I102" s="4">
        <f>(2*Tabelle2[[#This Row],[Abschlussmodul]])+(3*Tabelle2[[#This Row],[Mittelmodul]])+(5*Tabelle2[[#This Row],[Zusatzkosten/Modul]])+Tabelle2[[#This Row],[UST 20%]]+Tabelle2[[#This Row],[Zuschlag Gew.]]</f>
        <v>248764.62686000002</v>
      </c>
      <c r="J102" s="4">
        <f>(2*Tabelle2[[#This Row],[Abschlussmodul]])+(4*Tabelle2[[#This Row],[Mittelmodul]])+(6*Tabelle2[[#This Row],[Zusatzkosten/Modul]])+Tabelle2[[#This Row],[UST 20%]]+Tabelle2[[#This Row],[Zuschlag Gew.]]</f>
        <v>285221.27476</v>
      </c>
      <c r="K102" s="1">
        <f>(2*Tabelle2[[#This Row],[Abschlussmodul]])+(5*Tabelle2[[#This Row],[Mittelmodul]])+(7*Tabelle2[[#This Row],[Zusatzkosten/Modul]])+Tabelle2[[#This Row],[UST 20%]]+Tabelle2[[#This Row],[Zuschlag Gew.]]</f>
        <v>321677.92266000004</v>
      </c>
      <c r="L102">
        <f>(2*Tabelle2[[#This Row],[Abschlussmodul]])+(6*Tabelle2[[#This Row],[Mittelmodul]])+(8*Tabelle2[[#This Row],[Zusatzkosten/Modul]])+Tabelle2[[#This Row],[UST 20%]]+Tabelle2[[#This Row],[Zuschlag Gew.]]</f>
        <v>358134.57056000002</v>
      </c>
    </row>
    <row r="103" spans="1:12" x14ac:dyDescent="0.3">
      <c r="B103" s="2" t="s">
        <v>174</v>
      </c>
      <c r="E103" s="4">
        <f>F2</f>
        <v>2928.5</v>
      </c>
      <c r="F103" s="4">
        <f>(Tabelle2[[#This Row],[Mittelmodul]]+Tabelle2[[#This Row],[Abschlussmodul]]+Tabelle2[[#This Row],[Zusatzkosten/Modul]])*20/100</f>
        <v>585.70000000000005</v>
      </c>
      <c r="G103" s="4">
        <f>(Tabelle2[[#This Row],[Mittelmodul]]+Tabelle2[[#This Row],[Abschlussmodul]]+Tabelle2[[#This Row],[Zusatzkosten/Modul]])*10/100</f>
        <v>292.85000000000002</v>
      </c>
      <c r="H103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03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03" s="4">
        <f>(2*Tabelle2[[#This Row],[Abschlussmodul]])+(4*Tabelle2[[#This Row],[Mittelmodul]])+(6*Tabelle2[[#This Row],[Zusatzkosten/Modul]])+Tabelle2[[#This Row],[UST 20%]]+Tabelle2[[#This Row],[Zuschlag Gew.]]</f>
        <v>18449.55</v>
      </c>
      <c r="K103" s="1">
        <f>(2*Tabelle2[[#This Row],[Abschlussmodul]])+(5*Tabelle2[[#This Row],[Mittelmodul]])+(7*Tabelle2[[#This Row],[Zusatzkosten/Modul]])+Tabelle2[[#This Row],[UST 20%]]+Tabelle2[[#This Row],[Zuschlag Gew.]]</f>
        <v>21378.05</v>
      </c>
      <c r="L103">
        <f>(2*Tabelle2[[#This Row],[Abschlussmodul]])+(6*Tabelle2[[#This Row],[Mittelmodul]])+(8*Tabelle2[[#This Row],[Zusatzkosten/Modul]])+Tabelle2[[#This Row],[UST 20%]]+Tabelle2[[#This Row],[Zuschlag Gew.]]</f>
        <v>24306.55</v>
      </c>
    </row>
    <row r="104" spans="1:12" x14ac:dyDescent="0.3">
      <c r="B104" s="2" t="s">
        <v>175</v>
      </c>
      <c r="E104" s="4">
        <f>F2</f>
        <v>2928.5</v>
      </c>
      <c r="F104" s="4">
        <f>(Tabelle2[[#This Row],[Mittelmodul]]+Tabelle2[[#This Row],[Abschlussmodul]]+Tabelle2[[#This Row],[Zusatzkosten/Modul]])*20/100</f>
        <v>585.70000000000005</v>
      </c>
      <c r="G104" s="4">
        <f>(Tabelle2[[#This Row],[Mittelmodul]]+Tabelle2[[#This Row],[Abschlussmodul]]+Tabelle2[[#This Row],[Zusatzkosten/Modul]])*10/100</f>
        <v>292.85000000000002</v>
      </c>
      <c r="H104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04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04" s="4">
        <f>(2*Tabelle2[[#This Row],[Abschlussmodul]])+(4*Tabelle2[[#This Row],[Mittelmodul]])+(6*Tabelle2[[#This Row],[Zusatzkosten/Modul]])+Tabelle2[[#This Row],[UST 20%]]+Tabelle2[[#This Row],[Zuschlag Gew.]]</f>
        <v>18449.55</v>
      </c>
      <c r="K104" s="1">
        <f>(2*Tabelle2[[#This Row],[Abschlussmodul]])+(5*Tabelle2[[#This Row],[Mittelmodul]])+(7*Tabelle2[[#This Row],[Zusatzkosten/Modul]])+Tabelle2[[#This Row],[UST 20%]]+Tabelle2[[#This Row],[Zuschlag Gew.]]</f>
        <v>21378.05</v>
      </c>
      <c r="L104">
        <f>(2*Tabelle2[[#This Row],[Abschlussmodul]])+(6*Tabelle2[[#This Row],[Mittelmodul]])+(8*Tabelle2[[#This Row],[Zusatzkosten/Modul]])+Tabelle2[[#This Row],[UST 20%]]+Tabelle2[[#This Row],[Zuschlag Gew.]]</f>
        <v>24306.55</v>
      </c>
    </row>
    <row r="105" spans="1:12" x14ac:dyDescent="0.3">
      <c r="B105" s="2" t="s">
        <v>179</v>
      </c>
      <c r="C105" s="4">
        <f>F6+F30+F11</f>
        <v>30631.491600000001</v>
      </c>
      <c r="D105" s="4">
        <f>F10+F32+F12</f>
        <v>49848.599300000002</v>
      </c>
      <c r="E105" s="4">
        <f>F2</f>
        <v>2928.5</v>
      </c>
      <c r="F105" s="4">
        <f>(Tabelle2[[#This Row],[Mittelmodul]]+Tabelle2[[#This Row],[Abschlussmodul]]+Tabelle2[[#This Row],[Zusatzkosten/Modul]])*20/100</f>
        <v>16681.718180000003</v>
      </c>
      <c r="G105" s="4">
        <f>(Tabelle2[[#This Row],[Mittelmodul]]+Tabelle2[[#This Row],[Abschlussmodul]]+Tabelle2[[#This Row],[Zusatzkosten/Modul]])*10/100</f>
        <v>8340.8590900000017</v>
      </c>
      <c r="H105" s="4">
        <f>(2*Tabelle2[[#This Row],[Abschlussmodul]])+(2*Tabelle2[[#This Row],[Mittelmodul]])+(4*Tabelle2[[#This Row],[Zusatzkosten/Modul]])+Tabelle2[[#This Row],[UST 20%]]+Tabelle2[[#This Row],[Zuschlag Gew.]]</f>
        <v>197696.75907000003</v>
      </c>
      <c r="I105" s="4">
        <f>(2*Tabelle2[[#This Row],[Abschlussmodul]])+(3*Tabelle2[[#This Row],[Mittelmodul]])+(5*Tabelle2[[#This Row],[Zusatzkosten/Modul]])+Tabelle2[[#This Row],[UST 20%]]+Tabelle2[[#This Row],[Zuschlag Gew.]]</f>
        <v>231256.75067000001</v>
      </c>
      <c r="J105" s="4">
        <f>(2*Tabelle2[[#This Row],[Abschlussmodul]])+(4*Tabelle2[[#This Row],[Mittelmodul]])+(6*Tabelle2[[#This Row],[Zusatzkosten/Modul]])+Tabelle2[[#This Row],[UST 20%]]+Tabelle2[[#This Row],[Zuschlag Gew.]]</f>
        <v>264816.74226999999</v>
      </c>
      <c r="K105" s="1">
        <f>(2*Tabelle2[[#This Row],[Abschlussmodul]])+(5*Tabelle2[[#This Row],[Mittelmodul]])+(7*Tabelle2[[#This Row],[Zusatzkosten/Modul]])+Tabelle2[[#This Row],[UST 20%]]+Tabelle2[[#This Row],[Zuschlag Gew.]]</f>
        <v>298376.73387</v>
      </c>
      <c r="L105">
        <f>(2*Tabelle2[[#This Row],[Abschlussmodul]])+(6*Tabelle2[[#This Row],[Mittelmodul]])+(8*Tabelle2[[#This Row],[Zusatzkosten/Modul]])+Tabelle2[[#This Row],[UST 20%]]+Tabelle2[[#This Row],[Zuschlag Gew.]]</f>
        <v>331936.72547</v>
      </c>
    </row>
    <row r="106" spans="1:12" x14ac:dyDescent="0.3">
      <c r="B106" s="2" t="s">
        <v>176</v>
      </c>
      <c r="C106" s="4">
        <f>F6+F30+F11+F33</f>
        <v>32824.095600000001</v>
      </c>
      <c r="D106" s="4">
        <f>F10+F32+F12+F33</f>
        <v>52041.203300000001</v>
      </c>
      <c r="E106" s="4">
        <f>F2</f>
        <v>2928.5</v>
      </c>
      <c r="F106" s="4">
        <f>(Tabelle2[[#This Row],[Mittelmodul]]+Tabelle2[[#This Row],[Abschlussmodul]]+Tabelle2[[#This Row],[Zusatzkosten/Modul]])*20/100</f>
        <v>17558.75978</v>
      </c>
      <c r="G106" s="4">
        <f>(Tabelle2[[#This Row],[Mittelmodul]]+Tabelle2[[#This Row],[Abschlussmodul]]+Tabelle2[[#This Row],[Zusatzkosten/Modul]])*10/100</f>
        <v>8779.3798900000002</v>
      </c>
      <c r="H106" s="4">
        <f>(2*Tabelle2[[#This Row],[Abschlussmodul]])+(2*Tabelle2[[#This Row],[Mittelmodul]])+(4*Tabelle2[[#This Row],[Zusatzkosten/Modul]])+Tabelle2[[#This Row],[UST 20%]]+Tabelle2[[#This Row],[Zuschlag Gew.]]</f>
        <v>207782.73746999999</v>
      </c>
      <c r="I106" s="4">
        <f>(2*Tabelle2[[#This Row],[Abschlussmodul]])+(3*Tabelle2[[#This Row],[Mittelmodul]])+(5*Tabelle2[[#This Row],[Zusatzkosten/Modul]])+Tabelle2[[#This Row],[UST 20%]]+Tabelle2[[#This Row],[Zuschlag Gew.]]</f>
        <v>243535.33306999999</v>
      </c>
      <c r="J106" s="4">
        <f>(2*Tabelle2[[#This Row],[Abschlussmodul]])+(4*Tabelle2[[#This Row],[Mittelmodul]])+(6*Tabelle2[[#This Row],[Zusatzkosten/Modul]])+Tabelle2[[#This Row],[UST 20%]]+Tabelle2[[#This Row],[Zuschlag Gew.]]</f>
        <v>279287.92866999999</v>
      </c>
      <c r="K106" s="1">
        <f>(2*Tabelle2[[#This Row],[Abschlussmodul]])+(5*Tabelle2[[#This Row],[Mittelmodul]])+(7*Tabelle2[[#This Row],[Zusatzkosten/Modul]])+Tabelle2[[#This Row],[UST 20%]]+Tabelle2[[#This Row],[Zuschlag Gew.]]</f>
        <v>315040.52426999999</v>
      </c>
      <c r="L106">
        <f>(2*Tabelle2[[#This Row],[Abschlussmodul]])+(6*Tabelle2[[#This Row],[Mittelmodul]])+(8*Tabelle2[[#This Row],[Zusatzkosten/Modul]])+Tabelle2[[#This Row],[UST 20%]]+Tabelle2[[#This Row],[Zuschlag Gew.]]</f>
        <v>350793.11986999999</v>
      </c>
    </row>
    <row r="107" spans="1:12" x14ac:dyDescent="0.3">
      <c r="B107" s="2" t="s">
        <v>177</v>
      </c>
      <c r="E107" s="4">
        <f>F2</f>
        <v>2928.5</v>
      </c>
      <c r="F107" s="4">
        <f>(Tabelle2[[#This Row],[Mittelmodul]]+Tabelle2[[#This Row],[Abschlussmodul]]+Tabelle2[[#This Row],[Zusatzkosten/Modul]])*20/100</f>
        <v>585.70000000000005</v>
      </c>
      <c r="G107" s="4">
        <f>(Tabelle2[[#This Row],[Mittelmodul]]+Tabelle2[[#This Row],[Abschlussmodul]]+Tabelle2[[#This Row],[Zusatzkosten/Modul]])*10/100</f>
        <v>292.85000000000002</v>
      </c>
      <c r="H107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07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07" s="4">
        <f>(2*Tabelle2[[#This Row],[Abschlussmodul]])+(4*Tabelle2[[#This Row],[Mittelmodul]])+(6*Tabelle2[[#This Row],[Zusatzkosten/Modul]])+Tabelle2[[#This Row],[UST 20%]]+Tabelle2[[#This Row],[Zuschlag Gew.]]</f>
        <v>18449.55</v>
      </c>
      <c r="K107" s="1">
        <f>(2*Tabelle2[[#This Row],[Abschlussmodul]])+(5*Tabelle2[[#This Row],[Mittelmodul]])+(7*Tabelle2[[#This Row],[Zusatzkosten/Modul]])+Tabelle2[[#This Row],[UST 20%]]+Tabelle2[[#This Row],[Zuschlag Gew.]]</f>
        <v>21378.05</v>
      </c>
      <c r="L107">
        <f>(2*Tabelle2[[#This Row],[Abschlussmodul]])+(6*Tabelle2[[#This Row],[Mittelmodul]])+(8*Tabelle2[[#This Row],[Zusatzkosten/Modul]])+Tabelle2[[#This Row],[UST 20%]]+Tabelle2[[#This Row],[Zuschlag Gew.]]</f>
        <v>24306.55</v>
      </c>
    </row>
    <row r="108" spans="1:12" x14ac:dyDescent="0.3">
      <c r="B108" s="2" t="s">
        <v>178</v>
      </c>
      <c r="E108" s="4">
        <f>F2</f>
        <v>2928.5</v>
      </c>
      <c r="F108" s="4">
        <f>(Tabelle2[[#This Row],[Mittelmodul]]+Tabelle2[[#This Row],[Abschlussmodul]]+Tabelle2[[#This Row],[Zusatzkosten/Modul]])*20/100</f>
        <v>585.70000000000005</v>
      </c>
      <c r="G108" s="4">
        <f>(Tabelle2[[#This Row],[Mittelmodul]]+Tabelle2[[#This Row],[Abschlussmodul]]+Tabelle2[[#This Row],[Zusatzkosten/Modul]])*10/100</f>
        <v>292.85000000000002</v>
      </c>
      <c r="H108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08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08" s="4">
        <f>(2*Tabelle2[[#This Row],[Abschlussmodul]])+(4*Tabelle2[[#This Row],[Mittelmodul]])+(6*Tabelle2[[#This Row],[Zusatzkosten/Modul]])+Tabelle2[[#This Row],[UST 20%]]+Tabelle2[[#This Row],[Zuschlag Gew.]]</f>
        <v>18449.55</v>
      </c>
      <c r="K108" s="1">
        <f>(2*Tabelle2[[#This Row],[Abschlussmodul]])+(5*Tabelle2[[#This Row],[Mittelmodul]])+(7*Tabelle2[[#This Row],[Zusatzkosten/Modul]])+Tabelle2[[#This Row],[UST 20%]]+Tabelle2[[#This Row],[Zuschlag Gew.]]</f>
        <v>21378.05</v>
      </c>
      <c r="L108">
        <f>(2*Tabelle2[[#This Row],[Abschlussmodul]])+(6*Tabelle2[[#This Row],[Mittelmodul]])+(8*Tabelle2[[#This Row],[Zusatzkosten/Modul]])+Tabelle2[[#This Row],[UST 20%]]+Tabelle2[[#This Row],[Zuschlag Gew.]]</f>
        <v>24306.55</v>
      </c>
    </row>
    <row r="109" spans="1:12" x14ac:dyDescent="0.3">
      <c r="A109" s="2" t="s">
        <v>180</v>
      </c>
      <c r="B109" s="2" t="s">
        <v>181</v>
      </c>
      <c r="C109" s="4">
        <f>F6+F20+F13</f>
        <v>33202.001199999999</v>
      </c>
      <c r="D109" s="4">
        <f>F10+F22+F14</f>
        <v>54786.638500000001</v>
      </c>
      <c r="E109" s="4">
        <f>F2</f>
        <v>2928.5</v>
      </c>
      <c r="F109" s="4">
        <f>(Tabelle2[[#This Row],[Mittelmodul]]+Tabelle2[[#This Row],[Abschlussmodul]]+Tabelle2[[#This Row],[Zusatzkosten/Modul]])*20/100</f>
        <v>18183.427940000001</v>
      </c>
      <c r="G109" s="4">
        <f>(Tabelle2[[#This Row],[Mittelmodul]]+Tabelle2[[#This Row],[Abschlussmodul]]+Tabelle2[[#This Row],[Zusatzkosten/Modul]])*10/100</f>
        <v>9091.7139700000007</v>
      </c>
      <c r="H109" s="4">
        <f>(2*Tabelle2[[#This Row],[Abschlussmodul]])+(2*Tabelle2[[#This Row],[Mittelmodul]])+(4*Tabelle2[[#This Row],[Zusatzkosten/Modul]])+Tabelle2[[#This Row],[UST 20%]]+Tabelle2[[#This Row],[Zuschlag Gew.]]</f>
        <v>214966.42131000001</v>
      </c>
      <c r="I109" s="4">
        <f>(2*Tabelle2[[#This Row],[Abschlussmodul]])+(3*Tabelle2[[#This Row],[Mittelmodul]])+(5*Tabelle2[[#This Row],[Zusatzkosten/Modul]])+Tabelle2[[#This Row],[UST 20%]]+Tabelle2[[#This Row],[Zuschlag Gew.]]</f>
        <v>251096.92251</v>
      </c>
      <c r="J109" s="4">
        <f>(2*Tabelle2[[#This Row],[Abschlussmodul]])+(4*Tabelle2[[#This Row],[Mittelmodul]])+(6*Tabelle2[[#This Row],[Zusatzkosten/Modul]])+Tabelle2[[#This Row],[UST 20%]]+Tabelle2[[#This Row],[Zuschlag Gew.]]</f>
        <v>287227.42371</v>
      </c>
      <c r="K109" s="1">
        <f>(2*Tabelle2[[#This Row],[Abschlussmodul]])+(5*Tabelle2[[#This Row],[Mittelmodul]])+(7*Tabelle2[[#This Row],[Zusatzkosten/Modul]])+Tabelle2[[#This Row],[UST 20%]]+Tabelle2[[#This Row],[Zuschlag Gew.]]</f>
        <v>323357.92491</v>
      </c>
      <c r="L109">
        <f>(2*Tabelle2[[#This Row],[Abschlussmodul]])+(6*Tabelle2[[#This Row],[Mittelmodul]])+(8*Tabelle2[[#This Row],[Zusatzkosten/Modul]])+Tabelle2[[#This Row],[UST 20%]]+Tabelle2[[#This Row],[Zuschlag Gew.]]</f>
        <v>359488.42611</v>
      </c>
    </row>
    <row r="110" spans="1:12" x14ac:dyDescent="0.3">
      <c r="B110" s="2" t="s">
        <v>182</v>
      </c>
      <c r="C110" s="4">
        <f>F6+F20+F13+F33</f>
        <v>35394.605199999998</v>
      </c>
      <c r="D110" s="4">
        <f>F10+F22+F14+F33</f>
        <v>56979.2425</v>
      </c>
      <c r="E110" s="4">
        <f>F2</f>
        <v>2928.5</v>
      </c>
      <c r="F110" s="4">
        <f>(Tabelle2[[#This Row],[Mittelmodul]]+Tabelle2[[#This Row],[Abschlussmodul]]+Tabelle2[[#This Row],[Zusatzkosten/Modul]])*20/100</f>
        <v>19060.469539999998</v>
      </c>
      <c r="G110" s="4">
        <f>(Tabelle2[[#This Row],[Mittelmodul]]+Tabelle2[[#This Row],[Abschlussmodul]]+Tabelle2[[#This Row],[Zusatzkosten/Modul]])*10/100</f>
        <v>9530.2347699999991</v>
      </c>
      <c r="H110" s="4">
        <f>(2*Tabelle2[[#This Row],[Abschlussmodul]])+(2*Tabelle2[[#This Row],[Mittelmodul]])+(4*Tabelle2[[#This Row],[Zusatzkosten/Modul]])+Tabelle2[[#This Row],[UST 20%]]+Tabelle2[[#This Row],[Zuschlag Gew.]]</f>
        <v>225052.39971</v>
      </c>
      <c r="I110" s="4">
        <f>(2*Tabelle2[[#This Row],[Abschlussmodul]])+(3*Tabelle2[[#This Row],[Mittelmodul]])+(5*Tabelle2[[#This Row],[Zusatzkosten/Modul]])+Tabelle2[[#This Row],[UST 20%]]+Tabelle2[[#This Row],[Zuschlag Gew.]]</f>
        <v>263375.50491000002</v>
      </c>
      <c r="J110" s="4">
        <f>(2*Tabelle2[[#This Row],[Abschlussmodul]])+(4*Tabelle2[[#This Row],[Mittelmodul]])+(6*Tabelle2[[#This Row],[Zusatzkosten/Modul]])+Tabelle2[[#This Row],[UST 20%]]+Tabelle2[[#This Row],[Zuschlag Gew.]]</f>
        <v>301698.61011000001</v>
      </c>
      <c r="K110" s="1">
        <f>(2*Tabelle2[[#This Row],[Abschlussmodul]])+(5*Tabelle2[[#This Row],[Mittelmodul]])+(7*Tabelle2[[#This Row],[Zusatzkosten/Modul]])+Tabelle2[[#This Row],[UST 20%]]+Tabelle2[[#This Row],[Zuschlag Gew.]]</f>
        <v>340021.71531</v>
      </c>
      <c r="L110">
        <f>(2*Tabelle2[[#This Row],[Abschlussmodul]])+(6*Tabelle2[[#This Row],[Mittelmodul]])+(8*Tabelle2[[#This Row],[Zusatzkosten/Modul]])+Tabelle2[[#This Row],[UST 20%]]+Tabelle2[[#This Row],[Zuschlag Gew.]]</f>
        <v>378344.82050999999</v>
      </c>
    </row>
    <row r="111" spans="1:12" x14ac:dyDescent="0.3">
      <c r="B111" s="2" t="s">
        <v>183</v>
      </c>
      <c r="E111" s="4">
        <f>F2</f>
        <v>2928.5</v>
      </c>
      <c r="F111" s="4">
        <f>(Tabelle2[[#This Row],[Mittelmodul]]+Tabelle2[[#This Row],[Abschlussmodul]]+Tabelle2[[#This Row],[Zusatzkosten/Modul]])*20/100</f>
        <v>585.70000000000005</v>
      </c>
      <c r="G111" s="4">
        <f>(Tabelle2[[#This Row],[Mittelmodul]]+Tabelle2[[#This Row],[Abschlussmodul]]+Tabelle2[[#This Row],[Zusatzkosten/Modul]])*10/100</f>
        <v>292.85000000000002</v>
      </c>
      <c r="H111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11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11" s="4">
        <f>(2*Tabelle2[[#This Row],[Abschlussmodul]])+(4*Tabelle2[[#This Row],[Mittelmodul]])+(6*Tabelle2[[#This Row],[Zusatzkosten/Modul]])+Tabelle2[[#This Row],[UST 20%]]+Tabelle2[[#This Row],[Zuschlag Gew.]]</f>
        <v>18449.55</v>
      </c>
      <c r="K111" s="1">
        <f>(2*Tabelle2[[#This Row],[Abschlussmodul]])+(5*Tabelle2[[#This Row],[Mittelmodul]])+(7*Tabelle2[[#This Row],[Zusatzkosten/Modul]])+Tabelle2[[#This Row],[UST 20%]]+Tabelle2[[#This Row],[Zuschlag Gew.]]</f>
        <v>21378.05</v>
      </c>
      <c r="L111">
        <f>(2*Tabelle2[[#This Row],[Abschlussmodul]])+(6*Tabelle2[[#This Row],[Mittelmodul]])+(8*Tabelle2[[#This Row],[Zusatzkosten/Modul]])+Tabelle2[[#This Row],[UST 20%]]+Tabelle2[[#This Row],[Zuschlag Gew.]]</f>
        <v>24306.55</v>
      </c>
    </row>
    <row r="112" spans="1:12" x14ac:dyDescent="0.3">
      <c r="B112" s="2" t="s">
        <v>184</v>
      </c>
      <c r="E112" s="4">
        <f>F2</f>
        <v>2928.5</v>
      </c>
      <c r="F112" s="4">
        <f>(Tabelle2[[#This Row],[Mittelmodul]]+Tabelle2[[#This Row],[Abschlussmodul]]+Tabelle2[[#This Row],[Zusatzkosten/Modul]])*20/100</f>
        <v>585.70000000000005</v>
      </c>
      <c r="G112" s="4">
        <f>(Tabelle2[[#This Row],[Mittelmodul]]+Tabelle2[[#This Row],[Abschlussmodul]]+Tabelle2[[#This Row],[Zusatzkosten/Modul]])*10/100</f>
        <v>292.85000000000002</v>
      </c>
      <c r="H112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12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12" s="4">
        <f>(2*Tabelle2[[#This Row],[Abschlussmodul]])+(4*Tabelle2[[#This Row],[Mittelmodul]])+(6*Tabelle2[[#This Row],[Zusatzkosten/Modul]])+Tabelle2[[#This Row],[UST 20%]]+Tabelle2[[#This Row],[Zuschlag Gew.]]</f>
        <v>18449.55</v>
      </c>
      <c r="K112" s="1">
        <f>(2*Tabelle2[[#This Row],[Abschlussmodul]])+(5*Tabelle2[[#This Row],[Mittelmodul]])+(7*Tabelle2[[#This Row],[Zusatzkosten/Modul]])+Tabelle2[[#This Row],[UST 20%]]+Tabelle2[[#This Row],[Zuschlag Gew.]]</f>
        <v>21378.05</v>
      </c>
      <c r="L112">
        <f>(2*Tabelle2[[#This Row],[Abschlussmodul]])+(6*Tabelle2[[#This Row],[Mittelmodul]])+(8*Tabelle2[[#This Row],[Zusatzkosten/Modul]])+Tabelle2[[#This Row],[UST 20%]]+Tabelle2[[#This Row],[Zuschlag Gew.]]</f>
        <v>24306.55</v>
      </c>
    </row>
    <row r="113" spans="2:12" x14ac:dyDescent="0.3">
      <c r="B113" s="2" t="s">
        <v>185</v>
      </c>
      <c r="C113" s="4">
        <f>F6+F25+F13</f>
        <v>34436.447100000005</v>
      </c>
      <c r="D113" s="4">
        <f>F10+F27+F14</f>
        <v>57001.890500000001</v>
      </c>
      <c r="E113" s="4">
        <f>F2</f>
        <v>2928.5</v>
      </c>
      <c r="F113" s="4">
        <f>(Tabelle2[[#This Row],[Mittelmodul]]+Tabelle2[[#This Row],[Abschlussmodul]]+Tabelle2[[#This Row],[Zusatzkosten/Modul]])*20/100</f>
        <v>18873.36752</v>
      </c>
      <c r="G113" s="4">
        <f>(Tabelle2[[#This Row],[Mittelmodul]]+Tabelle2[[#This Row],[Abschlussmodul]]+Tabelle2[[#This Row],[Zusatzkosten/Modul]])*10/100</f>
        <v>9436.6837599999999</v>
      </c>
      <c r="H113" s="4">
        <f>(2*Tabelle2[[#This Row],[Abschlussmodul]])+(2*Tabelle2[[#This Row],[Mittelmodul]])+(4*Tabelle2[[#This Row],[Zusatzkosten/Modul]])+Tabelle2[[#This Row],[UST 20%]]+Tabelle2[[#This Row],[Zuschlag Gew.]]</f>
        <v>222900.72648000001</v>
      </c>
      <c r="I113" s="4">
        <f>(2*Tabelle2[[#This Row],[Abschlussmodul]])+(3*Tabelle2[[#This Row],[Mittelmodul]])+(5*Tabelle2[[#This Row],[Zusatzkosten/Modul]])+Tabelle2[[#This Row],[UST 20%]]+Tabelle2[[#This Row],[Zuschlag Gew.]]</f>
        <v>260265.67358</v>
      </c>
      <c r="J113" s="4">
        <f>(2*Tabelle2[[#This Row],[Abschlussmodul]])+(4*Tabelle2[[#This Row],[Mittelmodul]])+(6*Tabelle2[[#This Row],[Zusatzkosten/Modul]])+Tabelle2[[#This Row],[UST 20%]]+Tabelle2[[#This Row],[Zuschlag Gew.]]</f>
        <v>297630.62067999999</v>
      </c>
      <c r="K113" s="1">
        <f>(2*Tabelle2[[#This Row],[Abschlussmodul]])+(5*Tabelle2[[#This Row],[Mittelmodul]])+(7*Tabelle2[[#This Row],[Zusatzkosten/Modul]])+Tabelle2[[#This Row],[UST 20%]]+Tabelle2[[#This Row],[Zuschlag Gew.]]</f>
        <v>334995.56777999998</v>
      </c>
      <c r="L113">
        <f>(2*Tabelle2[[#This Row],[Abschlussmodul]])+(6*Tabelle2[[#This Row],[Mittelmodul]])+(8*Tabelle2[[#This Row],[Zusatzkosten/Modul]])+Tabelle2[[#This Row],[UST 20%]]+Tabelle2[[#This Row],[Zuschlag Gew.]]</f>
        <v>372360.51487999997</v>
      </c>
    </row>
    <row r="114" spans="2:12" x14ac:dyDescent="0.3">
      <c r="B114" s="2" t="s">
        <v>186</v>
      </c>
      <c r="C114" s="4">
        <f>F6+F25+F13+F33</f>
        <v>36629.051100000004</v>
      </c>
      <c r="D114" s="4">
        <f>F10+F27+F14+F33</f>
        <v>59194.494500000001</v>
      </c>
      <c r="E114" s="4">
        <f>F2</f>
        <v>2928.5</v>
      </c>
      <c r="F114" s="4">
        <f>(Tabelle2[[#This Row],[Mittelmodul]]+Tabelle2[[#This Row],[Abschlussmodul]]+Tabelle2[[#This Row],[Zusatzkosten/Modul]])*20/100</f>
        <v>19750.409120000004</v>
      </c>
      <c r="G114" s="4">
        <f>(Tabelle2[[#This Row],[Mittelmodul]]+Tabelle2[[#This Row],[Abschlussmodul]]+Tabelle2[[#This Row],[Zusatzkosten/Modul]])*10/100</f>
        <v>9875.2045600000019</v>
      </c>
      <c r="H114" s="4">
        <f>(2*Tabelle2[[#This Row],[Abschlussmodul]])+(2*Tabelle2[[#This Row],[Mittelmodul]])+(4*Tabelle2[[#This Row],[Zusatzkosten/Modul]])+Tabelle2[[#This Row],[UST 20%]]+Tabelle2[[#This Row],[Zuschlag Gew.]]</f>
        <v>232986.70488000003</v>
      </c>
      <c r="I114" s="4">
        <f>(2*Tabelle2[[#This Row],[Abschlussmodul]])+(3*Tabelle2[[#This Row],[Mittelmodul]])+(5*Tabelle2[[#This Row],[Zusatzkosten/Modul]])+Tabelle2[[#This Row],[UST 20%]]+Tabelle2[[#This Row],[Zuschlag Gew.]]</f>
        <v>272544.25598000002</v>
      </c>
      <c r="J114" s="4">
        <f>(2*Tabelle2[[#This Row],[Abschlussmodul]])+(4*Tabelle2[[#This Row],[Mittelmodul]])+(6*Tabelle2[[#This Row],[Zusatzkosten/Modul]])+Tabelle2[[#This Row],[UST 20%]]+Tabelle2[[#This Row],[Zuschlag Gew.]]</f>
        <v>312101.80708</v>
      </c>
      <c r="K114" s="1">
        <f>(2*Tabelle2[[#This Row],[Abschlussmodul]])+(5*Tabelle2[[#This Row],[Mittelmodul]])+(7*Tabelle2[[#This Row],[Zusatzkosten/Modul]])+Tabelle2[[#This Row],[UST 20%]]+Tabelle2[[#This Row],[Zuschlag Gew.]]</f>
        <v>351659.35818000004</v>
      </c>
      <c r="L114">
        <f>(2*Tabelle2[[#This Row],[Abschlussmodul]])+(6*Tabelle2[[#This Row],[Mittelmodul]])+(8*Tabelle2[[#This Row],[Zusatzkosten/Modul]])+Tabelle2[[#This Row],[UST 20%]]+Tabelle2[[#This Row],[Zuschlag Gew.]]</f>
        <v>391216.90928000002</v>
      </c>
    </row>
    <row r="115" spans="2:12" x14ac:dyDescent="0.3">
      <c r="B115" s="2" t="s">
        <v>187</v>
      </c>
      <c r="E115" s="4">
        <f>F2</f>
        <v>2928.5</v>
      </c>
      <c r="F115" s="4">
        <f>(Tabelle2[[#This Row],[Mittelmodul]]+Tabelle2[[#This Row],[Abschlussmodul]]+Tabelle2[[#This Row],[Zusatzkosten/Modul]])*20/100</f>
        <v>585.70000000000005</v>
      </c>
      <c r="G115" s="4">
        <f>(Tabelle2[[#This Row],[Mittelmodul]]+Tabelle2[[#This Row],[Abschlussmodul]]+Tabelle2[[#This Row],[Zusatzkosten/Modul]])*10/100</f>
        <v>292.85000000000002</v>
      </c>
      <c r="H115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15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15" s="4">
        <f>(2*Tabelle2[[#This Row],[Abschlussmodul]])+(4*Tabelle2[[#This Row],[Mittelmodul]])+(6*Tabelle2[[#This Row],[Zusatzkosten/Modul]])+Tabelle2[[#This Row],[UST 20%]]+Tabelle2[[#This Row],[Zuschlag Gew.]]</f>
        <v>18449.55</v>
      </c>
      <c r="K115" s="1">
        <f>(2*Tabelle2[[#This Row],[Abschlussmodul]])+(5*Tabelle2[[#This Row],[Mittelmodul]])+(7*Tabelle2[[#This Row],[Zusatzkosten/Modul]])+Tabelle2[[#This Row],[UST 20%]]+Tabelle2[[#This Row],[Zuschlag Gew.]]</f>
        <v>21378.05</v>
      </c>
      <c r="L115">
        <f>(2*Tabelle2[[#This Row],[Abschlussmodul]])+(6*Tabelle2[[#This Row],[Mittelmodul]])+(8*Tabelle2[[#This Row],[Zusatzkosten/Modul]])+Tabelle2[[#This Row],[UST 20%]]+Tabelle2[[#This Row],[Zuschlag Gew.]]</f>
        <v>24306.55</v>
      </c>
    </row>
    <row r="116" spans="2:12" x14ac:dyDescent="0.3">
      <c r="B116" s="2" t="s">
        <v>188</v>
      </c>
      <c r="E116" s="4">
        <f>F2</f>
        <v>2928.5</v>
      </c>
      <c r="F116" s="4">
        <f>(Tabelle2[[#This Row],[Mittelmodul]]+Tabelle2[[#This Row],[Abschlussmodul]]+Tabelle2[[#This Row],[Zusatzkosten/Modul]])*20/100</f>
        <v>585.70000000000005</v>
      </c>
      <c r="G116" s="4">
        <f>(Tabelle2[[#This Row],[Mittelmodul]]+Tabelle2[[#This Row],[Abschlussmodul]]+Tabelle2[[#This Row],[Zusatzkosten/Modul]])*10/100</f>
        <v>292.85000000000002</v>
      </c>
      <c r="H116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16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16" s="4">
        <f>(2*Tabelle2[[#This Row],[Abschlussmodul]])+(4*Tabelle2[[#This Row],[Mittelmodul]])+(6*Tabelle2[[#This Row],[Zusatzkosten/Modul]])+Tabelle2[[#This Row],[UST 20%]]+Tabelle2[[#This Row],[Zuschlag Gew.]]</f>
        <v>18449.55</v>
      </c>
      <c r="K116" s="1">
        <f>(2*Tabelle2[[#This Row],[Abschlussmodul]])+(5*Tabelle2[[#This Row],[Mittelmodul]])+(7*Tabelle2[[#This Row],[Zusatzkosten/Modul]])+Tabelle2[[#This Row],[UST 20%]]+Tabelle2[[#This Row],[Zuschlag Gew.]]</f>
        <v>21378.05</v>
      </c>
      <c r="L116">
        <f>(2*Tabelle2[[#This Row],[Abschlussmodul]])+(6*Tabelle2[[#This Row],[Mittelmodul]])+(8*Tabelle2[[#This Row],[Zusatzkosten/Modul]])+Tabelle2[[#This Row],[UST 20%]]+Tabelle2[[#This Row],[Zuschlag Gew.]]</f>
        <v>24306.55</v>
      </c>
    </row>
    <row r="117" spans="2:12" x14ac:dyDescent="0.3">
      <c r="B117" s="2" t="s">
        <v>189</v>
      </c>
      <c r="C117" s="4">
        <f>F6+F30+F13</f>
        <v>33732.394800000002</v>
      </c>
      <c r="D117" s="4">
        <f>F10+F32+F14</f>
        <v>55738.446500000005</v>
      </c>
      <c r="E117" s="4">
        <f>F2</f>
        <v>2928.5</v>
      </c>
      <c r="F117" s="4">
        <f>(Tabelle2[[#This Row],[Mittelmodul]]+Tabelle2[[#This Row],[Abschlussmodul]]+Tabelle2[[#This Row],[Zusatzkosten/Modul]])*20/100</f>
        <v>18479.868259999999</v>
      </c>
      <c r="G117" s="4">
        <f>(Tabelle2[[#This Row],[Mittelmodul]]+Tabelle2[[#This Row],[Abschlussmodul]]+Tabelle2[[#This Row],[Zusatzkosten/Modul]])*10/100</f>
        <v>9239.9341299999996</v>
      </c>
      <c r="H117" s="4">
        <f>(2*Tabelle2[[#This Row],[Abschlussmodul]])+(2*Tabelle2[[#This Row],[Mittelmodul]])+(4*Tabelle2[[#This Row],[Zusatzkosten/Modul]])+Tabelle2[[#This Row],[UST 20%]]+Tabelle2[[#This Row],[Zuschlag Gew.]]</f>
        <v>218375.48499</v>
      </c>
      <c r="I117" s="4">
        <f>(2*Tabelle2[[#This Row],[Abschlussmodul]])+(3*Tabelle2[[#This Row],[Mittelmodul]])+(5*Tabelle2[[#This Row],[Zusatzkosten/Modul]])+Tabelle2[[#This Row],[UST 20%]]+Tabelle2[[#This Row],[Zuschlag Gew.]]</f>
        <v>255036.37979000001</v>
      </c>
      <c r="J117" s="4">
        <f>(2*Tabelle2[[#This Row],[Abschlussmodul]])+(4*Tabelle2[[#This Row],[Mittelmodul]])+(6*Tabelle2[[#This Row],[Zusatzkosten/Modul]])+Tabelle2[[#This Row],[UST 20%]]+Tabelle2[[#This Row],[Zuschlag Gew.]]</f>
        <v>291697.27459000004</v>
      </c>
      <c r="K117" s="1">
        <f>(2*Tabelle2[[#This Row],[Abschlussmodul]])+(5*Tabelle2[[#This Row],[Mittelmodul]])+(7*Tabelle2[[#This Row],[Zusatzkosten/Modul]])+Tabelle2[[#This Row],[UST 20%]]+Tabelle2[[#This Row],[Zuschlag Gew.]]</f>
        <v>328358.16939000005</v>
      </c>
      <c r="L117">
        <f>(2*Tabelle2[[#This Row],[Abschlussmodul]])+(6*Tabelle2[[#This Row],[Mittelmodul]])+(8*Tabelle2[[#This Row],[Zusatzkosten/Modul]])+Tabelle2[[#This Row],[UST 20%]]+Tabelle2[[#This Row],[Zuschlag Gew.]]</f>
        <v>365019.06419</v>
      </c>
    </row>
    <row r="118" spans="2:12" x14ac:dyDescent="0.3">
      <c r="B118" s="2" t="s">
        <v>190</v>
      </c>
      <c r="C118" s="4">
        <f>F6+F30+F13+F33</f>
        <v>35924.998800000001</v>
      </c>
      <c r="D118" s="4">
        <f>F10+F32+F14+F33</f>
        <v>57931.050500000005</v>
      </c>
      <c r="E118" s="4">
        <f>F2</f>
        <v>2928.5</v>
      </c>
      <c r="F118" s="4">
        <f>(Tabelle2[[#This Row],[Mittelmodul]]+Tabelle2[[#This Row],[Abschlussmodul]]+Tabelle2[[#This Row],[Zusatzkosten/Modul]])*20/100</f>
        <v>19356.909860000003</v>
      </c>
      <c r="G118" s="4">
        <f>(Tabelle2[[#This Row],[Mittelmodul]]+Tabelle2[[#This Row],[Abschlussmodul]]+Tabelle2[[#This Row],[Zusatzkosten/Modul]])*10/100</f>
        <v>9678.4549300000017</v>
      </c>
      <c r="H118" s="4">
        <f>(2*Tabelle2[[#This Row],[Abschlussmodul]])+(2*Tabelle2[[#This Row],[Mittelmodul]])+(4*Tabelle2[[#This Row],[Zusatzkosten/Modul]])+Tabelle2[[#This Row],[UST 20%]]+Tabelle2[[#This Row],[Zuschlag Gew.]]</f>
        <v>228461.46339000005</v>
      </c>
      <c r="I118" s="4">
        <f>(2*Tabelle2[[#This Row],[Abschlussmodul]])+(3*Tabelle2[[#This Row],[Mittelmodul]])+(5*Tabelle2[[#This Row],[Zusatzkosten/Modul]])+Tabelle2[[#This Row],[UST 20%]]+Tabelle2[[#This Row],[Zuschlag Gew.]]</f>
        <v>267314.96219000005</v>
      </c>
      <c r="J118" s="4">
        <f>(2*Tabelle2[[#This Row],[Abschlussmodul]])+(4*Tabelle2[[#This Row],[Mittelmodul]])+(6*Tabelle2[[#This Row],[Zusatzkosten/Modul]])+Tabelle2[[#This Row],[UST 20%]]+Tabelle2[[#This Row],[Zuschlag Gew.]]</f>
        <v>306168.46099000005</v>
      </c>
      <c r="K118" s="1">
        <f>(2*Tabelle2[[#This Row],[Abschlussmodul]])+(5*Tabelle2[[#This Row],[Mittelmodul]])+(7*Tabelle2[[#This Row],[Zusatzkosten/Modul]])+Tabelle2[[#This Row],[UST 20%]]+Tabelle2[[#This Row],[Zuschlag Gew.]]</f>
        <v>345021.95979000005</v>
      </c>
      <c r="L118">
        <f>(2*Tabelle2[[#This Row],[Abschlussmodul]])+(6*Tabelle2[[#This Row],[Mittelmodul]])+(8*Tabelle2[[#This Row],[Zusatzkosten/Modul]])+Tabelle2[[#This Row],[UST 20%]]+Tabelle2[[#This Row],[Zuschlag Gew.]]</f>
        <v>383875.45859000005</v>
      </c>
    </row>
    <row r="119" spans="2:12" x14ac:dyDescent="0.3">
      <c r="B119" s="2" t="s">
        <v>191</v>
      </c>
      <c r="E119" s="4">
        <f>F2</f>
        <v>2928.5</v>
      </c>
      <c r="F119" s="4">
        <f>(Tabelle2[[#This Row],[Mittelmodul]]+Tabelle2[[#This Row],[Abschlussmodul]]+Tabelle2[[#This Row],[Zusatzkosten/Modul]])*20/100</f>
        <v>585.70000000000005</v>
      </c>
      <c r="G119" s="4">
        <f>(Tabelle2[[#This Row],[Mittelmodul]]+Tabelle2[[#This Row],[Abschlussmodul]]+Tabelle2[[#This Row],[Zusatzkosten/Modul]])*10/100</f>
        <v>292.85000000000002</v>
      </c>
      <c r="H119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19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19" s="4">
        <f>(2*Tabelle2[[#This Row],[Abschlussmodul]])+(4*Tabelle2[[#This Row],[Mittelmodul]])+(6*Tabelle2[[#This Row],[Zusatzkosten/Modul]])+Tabelle2[[#This Row],[UST 20%]]+Tabelle2[[#This Row],[Zuschlag Gew.]]</f>
        <v>18449.55</v>
      </c>
      <c r="K119" s="1">
        <f>(2*Tabelle2[[#This Row],[Abschlussmodul]])+(5*Tabelle2[[#This Row],[Mittelmodul]])+(7*Tabelle2[[#This Row],[Zusatzkosten/Modul]])+Tabelle2[[#This Row],[UST 20%]]+Tabelle2[[#This Row],[Zuschlag Gew.]]</f>
        <v>21378.05</v>
      </c>
      <c r="L119">
        <f>(2*Tabelle2[[#This Row],[Abschlussmodul]])+(6*Tabelle2[[#This Row],[Mittelmodul]])+(8*Tabelle2[[#This Row],[Zusatzkosten/Modul]])+Tabelle2[[#This Row],[UST 20%]]+Tabelle2[[#This Row],[Zuschlag Gew.]]</f>
        <v>24306.55</v>
      </c>
    </row>
    <row r="120" spans="2:12" x14ac:dyDescent="0.3">
      <c r="B120" s="2" t="s">
        <v>192</v>
      </c>
      <c r="E120" s="4">
        <f>F2</f>
        <v>2928.5</v>
      </c>
      <c r="F120" s="4">
        <f>(Tabelle2[[#This Row],[Mittelmodul]]+Tabelle2[[#This Row],[Abschlussmodul]]+Tabelle2[[#This Row],[Zusatzkosten/Modul]])*20/100</f>
        <v>585.70000000000005</v>
      </c>
      <c r="G120" s="4">
        <f>(Tabelle2[[#This Row],[Mittelmodul]]+Tabelle2[[#This Row],[Abschlussmodul]]+Tabelle2[[#This Row],[Zusatzkosten/Modul]])*10/100</f>
        <v>292.85000000000002</v>
      </c>
      <c r="H120" s="4">
        <f>(2*Tabelle2[[#This Row],[Abschlussmodul]])+(2*Tabelle2[[#This Row],[Mittelmodul]])+(4*Tabelle2[[#This Row],[Zusatzkosten/Modul]])+Tabelle2[[#This Row],[UST 20%]]+Tabelle2[[#This Row],[Zuschlag Gew.]]</f>
        <v>12592.550000000001</v>
      </c>
      <c r="I120" s="4">
        <f>(2*Tabelle2[[#This Row],[Abschlussmodul]])+(3*Tabelle2[[#This Row],[Mittelmodul]])+(5*Tabelle2[[#This Row],[Zusatzkosten/Modul]])+Tabelle2[[#This Row],[UST 20%]]+Tabelle2[[#This Row],[Zuschlag Gew.]]</f>
        <v>15521.050000000001</v>
      </c>
      <c r="J120" s="4">
        <f>(2*Tabelle2[[#This Row],[Abschlussmodul]])+(4*Tabelle2[[#This Row],[Mittelmodul]])+(6*Tabelle2[[#This Row],[Zusatzkosten/Modul]])+Tabelle2[[#This Row],[UST 20%]]+Tabelle2[[#This Row],[Zuschlag Gew.]]</f>
        <v>18449.55</v>
      </c>
      <c r="K120" s="1">
        <f>(2*Tabelle2[[#This Row],[Abschlussmodul]])+(5*Tabelle2[[#This Row],[Mittelmodul]])+(7*Tabelle2[[#This Row],[Zusatzkosten/Modul]])+Tabelle2[[#This Row],[UST 20%]]+Tabelle2[[#This Row],[Zuschlag Gew.]]</f>
        <v>21378.05</v>
      </c>
      <c r="L120">
        <f>(2*Tabelle2[[#This Row],[Abschlussmodul]])+(6*Tabelle2[[#This Row],[Mittelmodul]])+(8*Tabelle2[[#This Row],[Zusatzkosten/Modul]])+Tabelle2[[#This Row],[UST 20%]]+Tabelle2[[#This Row],[Zuschlag Gew.]]</f>
        <v>24306.55</v>
      </c>
    </row>
  </sheetData>
  <phoneticPr fontId="1" type="noConversion"/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Preiskalkulation Zarnhofer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</dc:creator>
  <cp:lastModifiedBy>Jan S</cp:lastModifiedBy>
  <dcterms:created xsi:type="dcterms:W3CDTF">2025-11-05T09:24:40Z</dcterms:created>
  <dcterms:modified xsi:type="dcterms:W3CDTF">2025-11-05T14:34:54Z</dcterms:modified>
</cp:coreProperties>
</file>