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usschmoltner/Desktop/"/>
    </mc:Choice>
  </mc:AlternateContent>
  <xr:revisionPtr revIDLastSave="0" documentId="13_ncr:1_{9B669D52-3BBD-6C46-9477-DBCE0CE07B76}" xr6:coauthVersionLast="47" xr6:coauthVersionMax="47" xr10:uidLastSave="{00000000-0000-0000-0000-000000000000}"/>
  <bookViews>
    <workbookView xWindow="6860" yWindow="3020" windowWidth="27640" windowHeight="16940" xr2:uid="{5A617CA0-D571-7B4D-BF1D-CE8F11023D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L66" i="1"/>
  <c r="O66" i="1" s="1"/>
  <c r="K66" i="1"/>
  <c r="J66" i="1"/>
  <c r="I66" i="1"/>
  <c r="H66" i="1"/>
  <c r="N66" i="1" s="1"/>
  <c r="L65" i="1"/>
  <c r="O65" i="1" s="1"/>
  <c r="K65" i="1"/>
  <c r="J65" i="1"/>
  <c r="I65" i="1"/>
  <c r="H65" i="1"/>
  <c r="N65" i="1" s="1"/>
  <c r="L64" i="1"/>
  <c r="O64" i="1" s="1"/>
  <c r="K64" i="1"/>
  <c r="J64" i="1"/>
  <c r="I64" i="1"/>
  <c r="H64" i="1"/>
  <c r="N64" i="1" s="1"/>
  <c r="O63" i="1"/>
  <c r="L63" i="1"/>
  <c r="K63" i="1"/>
  <c r="J63" i="1"/>
  <c r="I63" i="1"/>
  <c r="H63" i="1"/>
  <c r="N63" i="1" s="1"/>
  <c r="O62" i="1"/>
  <c r="N62" i="1"/>
  <c r="L62" i="1"/>
  <c r="K62" i="1"/>
  <c r="J62" i="1"/>
  <c r="I62" i="1"/>
  <c r="H62" i="1"/>
  <c r="N60" i="1"/>
  <c r="L60" i="1"/>
  <c r="O60" i="1" s="1"/>
  <c r="K60" i="1"/>
  <c r="J60" i="1"/>
  <c r="I60" i="1"/>
  <c r="H60" i="1"/>
  <c r="O59" i="1"/>
  <c r="L59" i="1"/>
  <c r="K59" i="1"/>
  <c r="J59" i="1"/>
  <c r="I59" i="1"/>
  <c r="H59" i="1"/>
  <c r="N59" i="1" s="1"/>
  <c r="O58" i="1"/>
  <c r="N58" i="1"/>
  <c r="L58" i="1"/>
  <c r="K58" i="1"/>
  <c r="J58" i="1"/>
  <c r="I58" i="1"/>
  <c r="H58" i="1"/>
  <c r="N57" i="1"/>
  <c r="L57" i="1"/>
  <c r="O57" i="1" s="1"/>
  <c r="K57" i="1"/>
  <c r="J57" i="1"/>
  <c r="I57" i="1"/>
  <c r="H57" i="1"/>
  <c r="L56" i="1"/>
  <c r="O56" i="1" s="1"/>
  <c r="K56" i="1"/>
  <c r="J56" i="1"/>
  <c r="I56" i="1"/>
  <c r="H56" i="1"/>
  <c r="N56" i="1" s="1"/>
  <c r="O55" i="1"/>
  <c r="L55" i="1"/>
  <c r="K55" i="1"/>
  <c r="J55" i="1"/>
  <c r="I55" i="1"/>
  <c r="H55" i="1"/>
  <c r="N55" i="1" s="1"/>
  <c r="N54" i="1"/>
  <c r="L54" i="1"/>
  <c r="O54" i="1" s="1"/>
  <c r="K54" i="1"/>
  <c r="J54" i="1"/>
  <c r="I54" i="1"/>
  <c r="H54" i="1"/>
  <c r="L53" i="1"/>
  <c r="O53" i="1" s="1"/>
  <c r="K53" i="1"/>
  <c r="J53" i="1"/>
  <c r="I53" i="1"/>
  <c r="H53" i="1"/>
  <c r="N53" i="1" s="1"/>
  <c r="O51" i="1"/>
  <c r="L51" i="1"/>
  <c r="K51" i="1"/>
  <c r="J51" i="1"/>
  <c r="I51" i="1"/>
  <c r="H51" i="1"/>
  <c r="N51" i="1" s="1"/>
  <c r="N50" i="1"/>
  <c r="L50" i="1"/>
  <c r="O50" i="1" s="1"/>
  <c r="K50" i="1"/>
  <c r="J50" i="1"/>
  <c r="I50" i="1"/>
  <c r="H50" i="1"/>
  <c r="L49" i="1"/>
  <c r="O49" i="1" s="1"/>
  <c r="K49" i="1"/>
  <c r="J49" i="1"/>
  <c r="I49" i="1"/>
  <c r="H49" i="1"/>
  <c r="N49" i="1" s="1"/>
  <c r="O48" i="1"/>
  <c r="L48" i="1"/>
  <c r="K48" i="1"/>
  <c r="J48" i="1"/>
  <c r="I48" i="1"/>
  <c r="H48" i="1"/>
  <c r="N48" i="1" s="1"/>
  <c r="N47" i="1"/>
  <c r="L47" i="1"/>
  <c r="O47" i="1" s="1"/>
  <c r="K47" i="1"/>
  <c r="J47" i="1"/>
  <c r="I47" i="1"/>
  <c r="H47" i="1"/>
  <c r="N46" i="1"/>
  <c r="L46" i="1"/>
  <c r="O46" i="1" s="1"/>
  <c r="K46" i="1"/>
  <c r="J46" i="1"/>
  <c r="I46" i="1"/>
  <c r="H46" i="1"/>
  <c r="O45" i="1"/>
  <c r="L45" i="1"/>
  <c r="K45" i="1"/>
  <c r="J45" i="1"/>
  <c r="I45" i="1"/>
  <c r="H45" i="1"/>
  <c r="N45" i="1" s="1"/>
  <c r="O44" i="1"/>
  <c r="N44" i="1"/>
  <c r="L44" i="1"/>
  <c r="K44" i="1"/>
  <c r="J44" i="1"/>
  <c r="I44" i="1"/>
  <c r="H44" i="1"/>
  <c r="N42" i="1"/>
  <c r="L42" i="1"/>
  <c r="O42" i="1" s="1"/>
  <c r="K42" i="1"/>
  <c r="J42" i="1"/>
  <c r="I42" i="1"/>
  <c r="H42" i="1"/>
  <c r="O41" i="1"/>
  <c r="L41" i="1"/>
  <c r="K41" i="1"/>
  <c r="J41" i="1"/>
  <c r="I41" i="1"/>
  <c r="H41" i="1"/>
  <c r="N41" i="1" s="1"/>
  <c r="O40" i="1"/>
  <c r="N40" i="1"/>
  <c r="L40" i="1"/>
  <c r="K40" i="1"/>
  <c r="J40" i="1"/>
  <c r="I40" i="1"/>
  <c r="H40" i="1"/>
  <c r="B27" i="1"/>
  <c r="B23" i="1"/>
  <c r="B22" i="1"/>
  <c r="B21" i="1"/>
  <c r="B20" i="1"/>
  <c r="B13" i="1"/>
  <c r="B12" i="1"/>
  <c r="B11" i="1"/>
  <c r="B10" i="1"/>
  <c r="B9" i="1"/>
  <c r="B8" i="1"/>
  <c r="B7" i="1"/>
  <c r="B6" i="1"/>
  <c r="E4" i="1"/>
  <c r="E61" i="1" s="1"/>
  <c r="D61" i="1"/>
  <c r="I61" i="1" l="1"/>
  <c r="H61" i="1"/>
  <c r="N61" i="1" s="1"/>
  <c r="L61" i="1"/>
  <c r="O61" i="1" s="1"/>
  <c r="K61" i="1"/>
  <c r="J61" i="1"/>
  <c r="D52" i="1"/>
  <c r="E52" i="1"/>
  <c r="D43" i="1"/>
  <c r="E43" i="1"/>
  <c r="I43" i="1" l="1"/>
  <c r="H43" i="1"/>
  <c r="N43" i="1" s="1"/>
  <c r="K43" i="1"/>
  <c r="L43" i="1"/>
  <c r="O43" i="1" s="1"/>
  <c r="J43" i="1"/>
  <c r="I52" i="1"/>
  <c r="H52" i="1"/>
  <c r="N52" i="1" s="1"/>
  <c r="L52" i="1"/>
  <c r="O52" i="1" s="1"/>
  <c r="K52" i="1"/>
  <c r="J52" i="1"/>
</calcChain>
</file>

<file path=xl/sharedStrings.xml><?xml version="1.0" encoding="utf-8"?>
<sst xmlns="http://schemas.openxmlformats.org/spreadsheetml/2006/main" count="77" uniqueCount="71">
  <si>
    <t>Arbeitszeitkalkulation Zarnhofer</t>
  </si>
  <si>
    <t>Mittelmodul Zarnhofer Preis</t>
  </si>
  <si>
    <t>Endmodul Zarnhofer Preis</t>
  </si>
  <si>
    <t>5.5.</t>
  </si>
  <si>
    <t>Innenwandverkleidung Mittelmodul 3S-Platte Fichte</t>
  </si>
  <si>
    <t>3S-Platte</t>
  </si>
  <si>
    <t>Innenwandverkleidung Abschlussmodul 3S-Platte Fichte</t>
  </si>
  <si>
    <t>5.7.</t>
  </si>
  <si>
    <t>Innenwandverkleidung Mittelmodul 3S-Platte Lärche</t>
  </si>
  <si>
    <t>Innenwandverkleidung Abschlussmodul 3S-Platte Lärche</t>
  </si>
  <si>
    <t>5.9.</t>
  </si>
  <si>
    <t>Innenwandverkleidung Mittelmodul 3S-Platte Eichenoberfläche</t>
  </si>
  <si>
    <t>Innenwandverkleidung Abschlussmodul 3S-Platte Eichenoberfl.</t>
  </si>
  <si>
    <t>Fußbodenheizung Elektro</t>
  </si>
  <si>
    <t>Fußbodenaufbau Parkett Eiche</t>
  </si>
  <si>
    <t>Eiche</t>
  </si>
  <si>
    <t>Fußbodenaufbau Parkett Hell</t>
  </si>
  <si>
    <t>Fußbodenaufbau Steinboden</t>
  </si>
  <si>
    <t>Lieferung und Aufbau</t>
  </si>
  <si>
    <t>Fundament</t>
  </si>
  <si>
    <t>Fenster &amp; Türen</t>
  </si>
  <si>
    <t>5.1.</t>
  </si>
  <si>
    <t>Lärchenfassade Mittelmodul</t>
  </si>
  <si>
    <t xml:space="preserve">Pro m2 </t>
  </si>
  <si>
    <t>Anmerkung abzug ohne Trapezblech???</t>
  </si>
  <si>
    <t>Lärchenfassade Endmodul</t>
  </si>
  <si>
    <t>5.2.</t>
  </si>
  <si>
    <t>Max Exterior Platten Mittelmodul</t>
  </si>
  <si>
    <t>Max Exterior Platten Endmodul</t>
  </si>
  <si>
    <t>5.3.</t>
  </si>
  <si>
    <t>Kamindurchbruch</t>
  </si>
  <si>
    <t>5.12.</t>
  </si>
  <si>
    <t>Leitungsdurchbruch</t>
  </si>
  <si>
    <t>5.13.</t>
  </si>
  <si>
    <t>Zwischendecke in Element</t>
  </si>
  <si>
    <t>Zwischendecke Fußbodenaufbau Parkett</t>
  </si>
  <si>
    <t>5.14.</t>
  </si>
  <si>
    <t>Durchbruch PV</t>
  </si>
  <si>
    <t>Dachentwässerung</t>
  </si>
  <si>
    <t>PV-Module</t>
  </si>
  <si>
    <t>Kalkulation der Materialpreise + Arbeitszeit Eigenkalkulation</t>
  </si>
  <si>
    <t>Trapezblech</t>
  </si>
  <si>
    <t>Trapezblech, Kiefer, Parkett Eiche</t>
  </si>
  <si>
    <t>Trapezblech, Kiefer, Kalkstein</t>
  </si>
  <si>
    <t>Trapezblech, Kiefer, Feinsteinzeug Granit</t>
  </si>
  <si>
    <t>Trapezblech, Fichte,Parkett Eiche</t>
  </si>
  <si>
    <t>Trapezblech, Fichte, Kalkstein</t>
  </si>
  <si>
    <t>Trapezblech, Fichte, Feinsteinzeug Granit</t>
  </si>
  <si>
    <t>Trapezblech, Eiche, Parkett Eiche</t>
  </si>
  <si>
    <t>Trapezblech, Eiche, Kalkstein</t>
  </si>
  <si>
    <t>Trapezblech, Eiche, Feinsteinzeug Granit</t>
  </si>
  <si>
    <t>Holzlattung Laerche</t>
  </si>
  <si>
    <t>Holzlattung Laerche, Kiefer, Parkett Eiche</t>
  </si>
  <si>
    <t>Holzlattung Laerche, Kiefer, Kalkstein</t>
  </si>
  <si>
    <t>Holzlattung Laerche, Kiefer, Feinsteinzeug Granit</t>
  </si>
  <si>
    <t>Holzlattung Laerche, Fichte,Eiche</t>
  </si>
  <si>
    <t>Holzlattung Laerche, Fichte, Kalkstein</t>
  </si>
  <si>
    <t>Holzlattung Laerche, Fichte, Feinsteinzeug Granit</t>
  </si>
  <si>
    <t>Holzlattung Laerche, Eiche, Parkett Eiche</t>
  </si>
  <si>
    <t>Holzlattung Laerche, Eiche, Kalkstein</t>
  </si>
  <si>
    <t>Holzlattung Laerche, Eiche, Feinsteinzeug Granit</t>
  </si>
  <si>
    <t>Holzverbundplatten</t>
  </si>
  <si>
    <t>Holzverbundplatten, Kiefer, Parkett Eiche</t>
  </si>
  <si>
    <t>Holzverbundplatten, Kiefer, Kalkstein</t>
  </si>
  <si>
    <t>Holzverbundplatten, Kiefer, Feinsteinzeug Granit</t>
  </si>
  <si>
    <t>Holzverbundplatten, Fichte, Eiche</t>
  </si>
  <si>
    <t>Holzverbundplatten, Fichte, Kalkstein</t>
  </si>
  <si>
    <t>Holzverbundplatten, Fichte, Feinsteinzeug Granit</t>
  </si>
  <si>
    <t>Holzverbundplatten, Eiche, Parkett Eiche</t>
  </si>
  <si>
    <t>Holzverbundplatten, Eiche, Kalkstein</t>
  </si>
  <si>
    <t>Holzverbundplatten, Eiche, Feinsteinzeug Granit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</si>
</sst>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€&quot;\ * #,##0.00_ ;_ &quot;€&quot;\ * \-#,##0.00_ ;_ &quot;€&quot;\ * &quot;-&quot;??_ ;_ @_ "/>
    <numFmt numFmtId="164" formatCode="_-&quot;€&quot;\ * #,##0.00_-;\-&quot;€&quot;\ * #,##0.00_-;_-&quot;€&quot;\ * &quot;-&quot;??_-;_-@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44" fontId="5" fillId="0" borderId="0" xfId="0" applyNumberFormat="1" applyFont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6" fillId="0" borderId="0" xfId="0" applyFont="1"/>
    <xf numFmtId="164" fontId="3" fillId="3" borderId="0" xfId="0" applyNumberFormat="1" applyFont="1" applyFill="1"/>
    <xf numFmtId="164" fontId="3" fillId="3" borderId="0" xfId="0" applyNumberFormat="1" applyFont="1" applyFill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center"/>
    </xf>
    <xf numFmtId="44" fontId="5" fillId="0" borderId="0" xfId="1" applyFont="1" applyAlignment="1">
      <alignment horizontal="center"/>
    </xf>
    <xf numFmtId="0" fontId="3" fillId="0" borderId="0" xfId="0" applyFont="1" applyAlignment="1">
      <alignment wrapText="1"/>
    </xf>
    <xf numFmtId="44" fontId="3" fillId="3" borderId="2" xfId="0" applyNumberFormat="1" applyFont="1" applyFill="1" applyBorder="1" applyAlignment="1">
      <alignment vertical="top" wrapText="1"/>
    </xf>
    <xf numFmtId="0" fontId="3" fillId="4" borderId="0" xfId="0" applyFont="1" applyFill="1" applyAlignment="1">
      <alignment wrapText="1"/>
    </xf>
    <xf numFmtId="0" fontId="3" fillId="4" borderId="0" xfId="0" applyFont="1" applyFill="1"/>
    <xf numFmtId="0" fontId="3" fillId="0" borderId="0" xfId="0" applyFont="1"/>
    <xf numFmtId="16" fontId="2" fillId="0" borderId="0" xfId="0" applyNumberFormat="1" applyFont="1" applyAlignment="1">
      <alignment horizontal="center"/>
    </xf>
    <xf numFmtId="0" fontId="3" fillId="3" borderId="3" xfId="0" applyFont="1" applyFill="1" applyBorder="1" applyAlignment="1">
      <alignment vertical="top" wrapText="1"/>
    </xf>
    <xf numFmtId="164" fontId="3" fillId="3" borderId="3" xfId="0" applyNumberFormat="1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4" xfId="0" applyFont="1" applyBorder="1"/>
    <xf numFmtId="164" fontId="3" fillId="0" borderId="4" xfId="0" applyNumberFormat="1" applyFont="1" applyBorder="1" applyAlignment="1">
      <alignment horizontal="center"/>
    </xf>
    <xf numFmtId="9" fontId="3" fillId="0" borderId="4" xfId="0" applyNumberFormat="1" applyFont="1" applyBorder="1" applyAlignment="1">
      <alignment horizontal="center"/>
    </xf>
    <xf numFmtId="44" fontId="5" fillId="0" borderId="4" xfId="0" applyNumberFormat="1" applyFont="1" applyBorder="1" applyAlignment="1">
      <alignment horizontal="center"/>
    </xf>
    <xf numFmtId="0" fontId="4" fillId="0" borderId="4" xfId="0" applyFont="1" applyBorder="1"/>
    <xf numFmtId="0" fontId="3" fillId="0" borderId="4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44" fontId="5" fillId="0" borderId="2" xfId="0" applyNumberFormat="1" applyFont="1" applyBorder="1" applyAlignment="1">
      <alignment horizontal="center" vertical="center"/>
    </xf>
    <xf numFmtId="44" fontId="3" fillId="0" borderId="0" xfId="0" applyNumberFormat="1" applyFont="1" applyAlignment="1">
      <alignment horizontal="center"/>
    </xf>
    <xf numFmtId="4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/>
    <xf numFmtId="9" fontId="3" fillId="0" borderId="5" xfId="0" applyNumberFormat="1" applyFont="1" applyBorder="1" applyAlignment="1">
      <alignment horizontal="center"/>
    </xf>
    <xf numFmtId="44" fontId="5" fillId="0" borderId="6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7D2E3-2898-FF40-A2E6-8B44F8E1469C}">
  <dimension ref="A1:P68"/>
  <sheetViews>
    <sheetView tabSelected="1" topLeftCell="A24" workbookViewId="0">
      <selection activeCell="D4" sqref="D4"/>
    </sheetView>
  </sheetViews>
  <sheetFormatPr baseColWidth="10" defaultRowHeight="16" x14ac:dyDescent="0.2"/>
  <cols>
    <col min="2" max="2" width="24" customWidth="1"/>
    <col min="3" max="3" width="35.5" customWidth="1"/>
    <col min="4" max="4" width="14.6640625" customWidth="1"/>
    <col min="5" max="5" width="15" customWidth="1"/>
    <col min="8" max="8" width="18.1640625" customWidth="1"/>
    <col min="9" max="9" width="16.33203125" customWidth="1"/>
    <col min="10" max="10" width="16.6640625" customWidth="1"/>
    <col min="11" max="11" width="16.83203125" customWidth="1"/>
    <col min="12" max="12" width="14.6640625" customWidth="1"/>
  </cols>
  <sheetData>
    <row r="1" spans="1:16" x14ac:dyDescent="0.2">
      <c r="A1" s="1"/>
      <c r="D1" s="2"/>
      <c r="E1" s="2"/>
      <c r="F1" s="3"/>
      <c r="G1" s="3"/>
      <c r="H1" s="4"/>
      <c r="I1" s="4"/>
      <c r="J1" s="4"/>
      <c r="K1" s="4"/>
      <c r="L1" s="4"/>
      <c r="M1" s="4"/>
      <c r="N1" s="4"/>
      <c r="O1" s="4"/>
      <c r="P1" s="4"/>
    </row>
    <row r="2" spans="1:16" x14ac:dyDescent="0.2">
      <c r="A2" s="1"/>
      <c r="B2" s="5" t="s">
        <v>0</v>
      </c>
      <c r="D2" s="2"/>
      <c r="E2" s="2"/>
      <c r="F2" s="3"/>
      <c r="G2" s="3"/>
      <c r="H2" s="6"/>
      <c r="I2" s="6"/>
      <c r="J2" s="6"/>
      <c r="K2" s="6"/>
      <c r="L2" s="6"/>
      <c r="M2" s="4"/>
      <c r="N2" s="4"/>
      <c r="O2" s="4"/>
      <c r="P2" s="4"/>
    </row>
    <row r="3" spans="1:16" x14ac:dyDescent="0.2">
      <c r="A3" s="1"/>
      <c r="B3" s="5"/>
      <c r="D3" s="2"/>
      <c r="E3" s="2"/>
      <c r="F3" s="3"/>
      <c r="G3" s="3"/>
      <c r="H3" s="6"/>
      <c r="I3" s="6"/>
      <c r="J3" s="6"/>
      <c r="K3" s="6"/>
      <c r="L3" s="6"/>
      <c r="M3" s="4"/>
      <c r="N3" s="4"/>
      <c r="O3" s="4"/>
      <c r="P3" s="4"/>
    </row>
    <row r="4" spans="1:16" x14ac:dyDescent="0.2">
      <c r="A4" s="1">
        <v>2</v>
      </c>
      <c r="B4" s="7">
        <v>20247.18</v>
      </c>
      <c r="C4" s="8" t="s">
        <v>1</v>
      </c>
      <c r="D4" s="9">
        <f>B4+B17+B19+B18</f>
        <v>29747.18</v>
      </c>
      <c r="E4" s="10">
        <f>B5+B17+B19+B18</f>
        <v>40403.440000000002</v>
      </c>
      <c r="F4" s="3"/>
      <c r="G4" s="3"/>
      <c r="H4" s="6"/>
      <c r="I4" s="6"/>
      <c r="J4" s="6"/>
      <c r="K4" s="6"/>
      <c r="L4" s="6"/>
      <c r="M4" s="4"/>
      <c r="N4" s="4"/>
      <c r="O4" s="4"/>
      <c r="P4" s="4"/>
    </row>
    <row r="5" spans="1:16" x14ac:dyDescent="0.2">
      <c r="A5" s="1">
        <v>3</v>
      </c>
      <c r="B5" s="7">
        <v>30903.439999999999</v>
      </c>
      <c r="C5" s="8" t="s">
        <v>2</v>
      </c>
      <c r="D5" s="11"/>
      <c r="E5" s="2"/>
      <c r="F5" s="3"/>
      <c r="G5" s="3"/>
      <c r="H5" s="6"/>
      <c r="I5" s="6"/>
      <c r="J5" s="6"/>
      <c r="K5" s="6"/>
      <c r="L5" s="6"/>
      <c r="M5" s="4"/>
      <c r="N5" s="4"/>
      <c r="O5" s="4"/>
      <c r="P5" s="4"/>
    </row>
    <row r="6" spans="1:16" ht="28" x14ac:dyDescent="0.2">
      <c r="A6" s="1" t="s">
        <v>3</v>
      </c>
      <c r="B6" s="7">
        <f>H6*K6+I6*L6</f>
        <v>3326.8360000000002</v>
      </c>
      <c r="C6" s="12" t="s">
        <v>4</v>
      </c>
      <c r="D6" s="2"/>
      <c r="E6" s="2"/>
      <c r="F6" s="4" t="s">
        <v>5</v>
      </c>
      <c r="G6" s="3"/>
      <c r="H6" s="13">
        <v>13.5</v>
      </c>
      <c r="I6" s="13">
        <v>24.17</v>
      </c>
      <c r="J6" s="13"/>
      <c r="K6" s="14">
        <v>75.81</v>
      </c>
      <c r="L6" s="6">
        <v>95.3</v>
      </c>
      <c r="M6" s="4"/>
      <c r="N6" s="4"/>
      <c r="O6" s="4"/>
      <c r="P6" s="4"/>
    </row>
    <row r="7" spans="1:16" ht="29" x14ac:dyDescent="0.2">
      <c r="A7" s="1" t="s">
        <v>3</v>
      </c>
      <c r="B7" s="7">
        <f>H7*K7+I7*L7+J7*K7</f>
        <v>5593.9233000000004</v>
      </c>
      <c r="C7" s="15" t="s">
        <v>6</v>
      </c>
      <c r="F7" s="4" t="s">
        <v>5</v>
      </c>
      <c r="G7" s="3"/>
      <c r="H7" s="13">
        <v>13.5</v>
      </c>
      <c r="I7" s="13">
        <v>24.15</v>
      </c>
      <c r="J7" s="13">
        <v>29.93</v>
      </c>
      <c r="K7" s="14">
        <v>75.81</v>
      </c>
      <c r="L7" s="6">
        <v>95.3</v>
      </c>
      <c r="M7" s="4"/>
      <c r="N7" s="4"/>
      <c r="O7" s="4"/>
      <c r="P7" s="4"/>
    </row>
    <row r="8" spans="1:16" ht="28" x14ac:dyDescent="0.2">
      <c r="A8" s="1" t="s">
        <v>7</v>
      </c>
      <c r="B8" s="7">
        <f>H8*K8+I8*L8</f>
        <v>4561.2819</v>
      </c>
      <c r="C8" s="12" t="s">
        <v>8</v>
      </c>
      <c r="F8" s="4"/>
      <c r="G8" s="3"/>
      <c r="H8" s="13">
        <v>13.5</v>
      </c>
      <c r="I8" s="13">
        <v>24.17</v>
      </c>
      <c r="J8" s="13"/>
      <c r="K8" s="14">
        <v>108.58</v>
      </c>
      <c r="L8" s="6">
        <v>128.07</v>
      </c>
      <c r="M8" s="4"/>
      <c r="N8" s="4"/>
      <c r="O8" s="4"/>
      <c r="P8" s="4"/>
    </row>
    <row r="9" spans="1:16" ht="29" x14ac:dyDescent="0.2">
      <c r="A9" s="1" t="s">
        <v>7</v>
      </c>
      <c r="B9" s="7">
        <f>H9*K9+I9*L9+J9*K9</f>
        <v>7808.5198999999993</v>
      </c>
      <c r="C9" s="15" t="s">
        <v>9</v>
      </c>
      <c r="F9" s="4"/>
      <c r="G9" s="3"/>
      <c r="H9" s="13">
        <v>13.5</v>
      </c>
      <c r="I9" s="13">
        <v>24.15</v>
      </c>
      <c r="J9" s="13">
        <v>29.93</v>
      </c>
      <c r="K9" s="14">
        <v>108.58</v>
      </c>
      <c r="L9" s="6">
        <v>128.07</v>
      </c>
      <c r="M9" s="4"/>
      <c r="N9" s="4"/>
      <c r="O9" s="4"/>
      <c r="P9" s="4"/>
    </row>
    <row r="10" spans="1:16" ht="42" x14ac:dyDescent="0.2">
      <c r="A10" s="1" t="s">
        <v>10</v>
      </c>
      <c r="B10" s="7">
        <f>H10*K10+I10*L10</f>
        <v>3857.2296000000006</v>
      </c>
      <c r="C10" s="12" t="s">
        <v>11</v>
      </c>
      <c r="F10" s="4"/>
      <c r="G10" s="3"/>
      <c r="H10" s="13">
        <v>13.5</v>
      </c>
      <c r="I10" s="13">
        <v>24.17</v>
      </c>
      <c r="J10" s="13"/>
      <c r="K10" s="14">
        <v>89.89</v>
      </c>
      <c r="L10" s="6">
        <v>109.38</v>
      </c>
      <c r="M10" s="4"/>
      <c r="N10" s="4"/>
      <c r="O10" s="4"/>
      <c r="P10" s="4"/>
    </row>
    <row r="11" spans="1:16" ht="43" x14ac:dyDescent="0.2">
      <c r="A11" s="1" t="s">
        <v>10</v>
      </c>
      <c r="B11" s="7">
        <f>H11*K11+I11*L11+J11*K11</f>
        <v>6545.4496999999992</v>
      </c>
      <c r="C11" s="15" t="s">
        <v>12</v>
      </c>
      <c r="F11" s="4"/>
      <c r="G11" s="3"/>
      <c r="H11" s="13">
        <v>13.5</v>
      </c>
      <c r="I11" s="13">
        <v>24.15</v>
      </c>
      <c r="J11" s="13">
        <v>29.93</v>
      </c>
      <c r="K11" s="14">
        <v>89.89</v>
      </c>
      <c r="L11" s="6">
        <v>109.38</v>
      </c>
      <c r="M11" s="4"/>
      <c r="N11" s="4"/>
      <c r="O11" s="4"/>
      <c r="P11" s="4"/>
    </row>
    <row r="12" spans="1:16" x14ac:dyDescent="0.2">
      <c r="A12" s="1"/>
      <c r="B12" s="16">
        <f>H12*I12*K12</f>
        <v>2101.1226799999999</v>
      </c>
      <c r="C12" s="17" t="s">
        <v>13</v>
      </c>
      <c r="F12" s="4"/>
      <c r="G12" s="3"/>
      <c r="H12" s="13">
        <v>2.68</v>
      </c>
      <c r="I12" s="13">
        <v>7.66</v>
      </c>
      <c r="J12" s="13"/>
      <c r="K12" s="14">
        <v>102.35</v>
      </c>
      <c r="L12" s="6"/>
      <c r="M12" s="4"/>
      <c r="N12" s="4"/>
      <c r="O12" s="4"/>
      <c r="P12" s="4"/>
    </row>
    <row r="13" spans="1:16" x14ac:dyDescent="0.2">
      <c r="A13" s="1"/>
      <c r="B13" s="16">
        <f>H13*I13*K13</f>
        <v>2192.4758400000001</v>
      </c>
      <c r="C13" s="18" t="s">
        <v>14</v>
      </c>
      <c r="D13" s="2"/>
      <c r="E13" s="2"/>
      <c r="F13" s="4" t="s">
        <v>15</v>
      </c>
      <c r="G13" s="3"/>
      <c r="H13" s="13">
        <v>2.68</v>
      </c>
      <c r="I13" s="13">
        <v>7.66</v>
      </c>
      <c r="J13" s="13"/>
      <c r="K13" s="14">
        <v>106.8</v>
      </c>
      <c r="L13" s="6"/>
      <c r="M13" s="4"/>
      <c r="N13" s="4"/>
      <c r="O13" s="4"/>
      <c r="P13" s="4"/>
    </row>
    <row r="14" spans="1:16" x14ac:dyDescent="0.2">
      <c r="A14" s="1"/>
      <c r="B14" s="16"/>
      <c r="C14" s="18" t="s">
        <v>16</v>
      </c>
      <c r="D14" s="2"/>
      <c r="E14" s="2"/>
      <c r="F14" s="4"/>
      <c r="G14" s="3"/>
      <c r="H14" s="13"/>
      <c r="I14" s="13"/>
      <c r="J14" s="13"/>
      <c r="K14" s="14"/>
      <c r="L14" s="6"/>
      <c r="M14" s="4"/>
      <c r="N14" s="4"/>
      <c r="O14" s="4"/>
      <c r="P14" s="4"/>
    </row>
    <row r="15" spans="1:16" x14ac:dyDescent="0.2">
      <c r="A15" s="1"/>
      <c r="B15" s="16"/>
      <c r="C15" s="18" t="s">
        <v>17</v>
      </c>
      <c r="D15" s="2"/>
      <c r="E15" s="2"/>
      <c r="F15" s="4"/>
      <c r="G15" s="3"/>
      <c r="H15" s="13"/>
      <c r="I15" s="13"/>
      <c r="J15" s="13"/>
      <c r="K15" s="14"/>
      <c r="L15" s="6"/>
      <c r="M15" s="4"/>
      <c r="N15" s="4"/>
      <c r="O15" s="4"/>
      <c r="P15" s="4"/>
    </row>
    <row r="16" spans="1:16" x14ac:dyDescent="0.2">
      <c r="A16" s="1"/>
      <c r="B16" s="16"/>
      <c r="C16" s="19"/>
      <c r="D16" s="2"/>
      <c r="E16" s="2"/>
      <c r="F16" s="4"/>
      <c r="G16" s="3"/>
      <c r="H16" s="13"/>
      <c r="I16" s="13"/>
      <c r="J16" s="13"/>
      <c r="K16" s="14"/>
      <c r="L16" s="6"/>
      <c r="M16" s="4"/>
      <c r="N16" s="4"/>
      <c r="O16" s="4"/>
      <c r="P16" s="4"/>
    </row>
    <row r="17" spans="1:16" x14ac:dyDescent="0.2">
      <c r="A17" s="1">
        <v>1</v>
      </c>
      <c r="B17" s="16">
        <v>2500</v>
      </c>
      <c r="C17" s="19" t="s">
        <v>18</v>
      </c>
      <c r="D17" s="2"/>
      <c r="E17" s="2"/>
      <c r="F17" s="4"/>
      <c r="G17" s="3"/>
      <c r="H17" s="13"/>
      <c r="I17" s="13"/>
      <c r="J17" s="13"/>
      <c r="K17" s="14"/>
      <c r="L17" s="6"/>
      <c r="M17" s="4"/>
      <c r="N17" s="4"/>
      <c r="O17" s="4"/>
      <c r="P17" s="4"/>
    </row>
    <row r="18" spans="1:16" x14ac:dyDescent="0.2">
      <c r="A18" s="1"/>
      <c r="B18" s="16">
        <v>3000</v>
      </c>
      <c r="C18" s="19" t="s">
        <v>19</v>
      </c>
      <c r="D18" s="2"/>
      <c r="E18" s="2"/>
      <c r="F18" s="4"/>
      <c r="G18" s="3"/>
      <c r="H18" s="13"/>
      <c r="I18" s="13"/>
      <c r="J18" s="13"/>
      <c r="K18" s="14"/>
      <c r="L18" s="6"/>
      <c r="M18" s="4"/>
      <c r="N18" s="4"/>
      <c r="O18" s="4"/>
      <c r="P18" s="4"/>
    </row>
    <row r="19" spans="1:16" x14ac:dyDescent="0.2">
      <c r="A19" s="1">
        <v>4</v>
      </c>
      <c r="B19" s="16">
        <v>4000</v>
      </c>
      <c r="C19" s="19" t="s">
        <v>20</v>
      </c>
      <c r="D19" s="2"/>
      <c r="E19" s="2"/>
      <c r="F19" s="4"/>
      <c r="G19" s="3"/>
      <c r="H19" s="13"/>
      <c r="I19" s="13"/>
      <c r="J19" s="13"/>
      <c r="K19" s="14"/>
      <c r="L19" s="6"/>
      <c r="M19" s="4"/>
      <c r="N19" s="4"/>
      <c r="O19" s="4"/>
      <c r="P19" s="4"/>
    </row>
    <row r="20" spans="1:16" x14ac:dyDescent="0.2">
      <c r="A20" s="20" t="s">
        <v>21</v>
      </c>
      <c r="B20" s="16">
        <f>K21*I20</f>
        <v>6527.0820000000003</v>
      </c>
      <c r="C20" s="19" t="s">
        <v>22</v>
      </c>
      <c r="D20" s="2"/>
      <c r="E20" s="2"/>
      <c r="F20" s="4" t="s">
        <v>23</v>
      </c>
      <c r="G20" s="3"/>
      <c r="H20" s="13"/>
      <c r="I20" s="13">
        <v>43.14</v>
      </c>
      <c r="K20" s="14">
        <v>151.30000000000001</v>
      </c>
      <c r="L20" s="6" t="s">
        <v>24</v>
      </c>
      <c r="M20" s="4"/>
      <c r="N20" s="4"/>
      <c r="O20" s="4"/>
      <c r="P20" s="4"/>
    </row>
    <row r="21" spans="1:16" x14ac:dyDescent="0.2">
      <c r="A21" s="1" t="s">
        <v>21</v>
      </c>
      <c r="B21" s="16">
        <f>K21*J21</f>
        <v>12397.522000000001</v>
      </c>
      <c r="C21" s="19" t="s">
        <v>25</v>
      </c>
      <c r="D21" s="2"/>
      <c r="E21" s="2"/>
      <c r="F21" s="4"/>
      <c r="G21" s="3"/>
      <c r="H21" s="13"/>
      <c r="I21" s="13"/>
      <c r="J21" s="13">
        <v>81.94</v>
      </c>
      <c r="K21" s="14">
        <v>151.30000000000001</v>
      </c>
      <c r="L21" s="6"/>
      <c r="M21" s="4"/>
      <c r="N21" s="4"/>
      <c r="O21" s="4"/>
      <c r="P21" s="4"/>
    </row>
    <row r="22" spans="1:16" x14ac:dyDescent="0.2">
      <c r="A22" s="1" t="s">
        <v>26</v>
      </c>
      <c r="B22" s="16">
        <f>I22*K22</f>
        <v>9627.985200000001</v>
      </c>
      <c r="C22" s="19" t="s">
        <v>27</v>
      </c>
      <c r="D22" s="2"/>
      <c r="E22" s="2"/>
      <c r="F22" s="4"/>
      <c r="G22" s="3"/>
      <c r="H22" s="13"/>
      <c r="I22" s="13">
        <v>43.14</v>
      </c>
      <c r="J22" s="13"/>
      <c r="K22" s="14">
        <v>223.18</v>
      </c>
      <c r="L22" s="6"/>
      <c r="M22" s="4"/>
      <c r="N22" s="4"/>
      <c r="O22" s="4"/>
      <c r="P22" s="4"/>
    </row>
    <row r="23" spans="1:16" x14ac:dyDescent="0.2">
      <c r="A23" s="1" t="s">
        <v>26</v>
      </c>
      <c r="B23" s="16">
        <f>J23*K23</f>
        <v>18287.369200000001</v>
      </c>
      <c r="C23" s="19" t="s">
        <v>28</v>
      </c>
      <c r="D23" s="2"/>
      <c r="E23" s="2"/>
      <c r="F23" s="4"/>
      <c r="G23" s="3"/>
      <c r="H23" s="13"/>
      <c r="I23" s="13"/>
      <c r="J23" s="13">
        <v>81.94</v>
      </c>
      <c r="K23" s="14">
        <v>223.18</v>
      </c>
      <c r="L23" s="6"/>
      <c r="M23" s="4"/>
      <c r="N23" s="4"/>
      <c r="O23" s="4"/>
      <c r="P23" s="4"/>
    </row>
    <row r="24" spans="1:16" x14ac:dyDescent="0.2">
      <c r="A24" s="1" t="s">
        <v>29</v>
      </c>
      <c r="B24" s="16">
        <v>687.25</v>
      </c>
      <c r="C24" s="19" t="s">
        <v>30</v>
      </c>
      <c r="D24" s="2"/>
      <c r="E24" s="2"/>
      <c r="F24" s="4"/>
      <c r="G24" s="3"/>
      <c r="H24" s="13"/>
      <c r="I24" s="13"/>
      <c r="J24" s="13"/>
      <c r="K24" s="14"/>
      <c r="L24" s="6"/>
      <c r="M24" s="4"/>
      <c r="N24" s="4"/>
      <c r="O24" s="4"/>
      <c r="P24" s="4"/>
    </row>
    <row r="25" spans="1:16" x14ac:dyDescent="0.2">
      <c r="A25" s="1" t="s">
        <v>31</v>
      </c>
      <c r="B25" s="16">
        <v>141.9</v>
      </c>
      <c r="C25" s="19" t="s">
        <v>32</v>
      </c>
      <c r="D25" s="2"/>
      <c r="E25" s="2"/>
      <c r="F25" s="4"/>
      <c r="G25" s="3"/>
      <c r="H25" s="13"/>
      <c r="I25" s="13"/>
      <c r="J25" s="13"/>
      <c r="K25" s="14"/>
      <c r="L25" s="6"/>
      <c r="M25" s="4"/>
      <c r="N25" s="4"/>
      <c r="O25" s="4"/>
      <c r="P25" s="4"/>
    </row>
    <row r="26" spans="1:16" x14ac:dyDescent="0.2">
      <c r="A26" s="1" t="s">
        <v>33</v>
      </c>
      <c r="B26" s="16">
        <v>2307.64</v>
      </c>
      <c r="C26" s="19" t="s">
        <v>34</v>
      </c>
      <c r="D26" s="2"/>
      <c r="E26" s="2"/>
      <c r="F26" s="4"/>
      <c r="G26" s="3"/>
      <c r="H26" s="13"/>
      <c r="I26" s="13"/>
      <c r="J26" s="13"/>
      <c r="K26" s="14"/>
      <c r="L26" s="6"/>
      <c r="M26" s="4"/>
      <c r="N26" s="4"/>
      <c r="O26" s="4"/>
      <c r="P26" s="4"/>
    </row>
    <row r="27" spans="1:16" x14ac:dyDescent="0.2">
      <c r="A27" s="1"/>
      <c r="B27" s="16">
        <f>H27*I27*K27</f>
        <v>2192.4758400000001</v>
      </c>
      <c r="C27" s="19" t="s">
        <v>35</v>
      </c>
      <c r="D27" s="2"/>
      <c r="E27" s="2"/>
      <c r="F27" s="4"/>
      <c r="G27" s="3"/>
      <c r="H27" s="13">
        <v>2.68</v>
      </c>
      <c r="I27" s="13">
        <v>7.66</v>
      </c>
      <c r="J27" s="13"/>
      <c r="K27" s="14">
        <v>106.8</v>
      </c>
      <c r="L27" s="6"/>
      <c r="M27" s="4"/>
      <c r="N27" s="4"/>
      <c r="O27" s="4"/>
      <c r="P27" s="4"/>
    </row>
    <row r="28" spans="1:16" x14ac:dyDescent="0.2">
      <c r="A28" s="1" t="s">
        <v>36</v>
      </c>
      <c r="B28" s="16">
        <v>155.44999999999999</v>
      </c>
      <c r="C28" s="19" t="s">
        <v>37</v>
      </c>
      <c r="D28" s="2"/>
      <c r="E28" s="2"/>
      <c r="F28" s="4"/>
      <c r="G28" s="3"/>
      <c r="H28" s="13"/>
      <c r="I28" s="13"/>
      <c r="J28" s="13"/>
      <c r="K28" s="14"/>
      <c r="L28" s="6"/>
      <c r="M28" s="4"/>
      <c r="N28" s="4"/>
      <c r="O28" s="4"/>
      <c r="P28" s="4"/>
    </row>
    <row r="29" spans="1:16" x14ac:dyDescent="0.2">
      <c r="A29" s="1"/>
      <c r="B29" s="16">
        <v>1000</v>
      </c>
      <c r="C29" s="19" t="s">
        <v>38</v>
      </c>
      <c r="D29" s="2"/>
      <c r="E29" s="2"/>
      <c r="F29" s="4"/>
      <c r="G29" s="3"/>
      <c r="H29" s="13"/>
      <c r="I29" s="13"/>
      <c r="J29" s="13"/>
      <c r="K29" s="14"/>
      <c r="L29" s="6"/>
      <c r="M29" s="4"/>
      <c r="N29" s="4"/>
      <c r="O29" s="4"/>
      <c r="P29" s="4"/>
    </row>
    <row r="30" spans="1:16" x14ac:dyDescent="0.2">
      <c r="A30" s="1"/>
      <c r="B30" s="16"/>
      <c r="C30" s="19" t="s">
        <v>39</v>
      </c>
      <c r="D30" s="2"/>
      <c r="E30" s="2"/>
      <c r="F30" s="4"/>
      <c r="G30" s="3"/>
      <c r="H30" s="13"/>
      <c r="I30" s="13"/>
      <c r="J30" s="13"/>
      <c r="K30" s="14"/>
      <c r="L30" s="6"/>
      <c r="M30" s="4"/>
      <c r="N30" s="4"/>
      <c r="O30" s="4"/>
      <c r="P30" s="4"/>
    </row>
    <row r="31" spans="1:16" x14ac:dyDescent="0.2">
      <c r="A31" s="1"/>
      <c r="B31" s="16"/>
      <c r="C31" s="19"/>
      <c r="D31" s="2"/>
      <c r="E31" s="2"/>
      <c r="F31" s="4"/>
      <c r="G31" s="3"/>
      <c r="H31" s="13"/>
      <c r="I31" s="13"/>
      <c r="J31" s="13"/>
      <c r="K31" s="14"/>
      <c r="L31" s="6"/>
      <c r="M31" s="4"/>
      <c r="N31" s="4"/>
      <c r="O31" s="4"/>
      <c r="P31" s="4"/>
    </row>
    <row r="32" spans="1:16" x14ac:dyDescent="0.2">
      <c r="A32" s="1"/>
      <c r="B32" s="16"/>
      <c r="C32" s="19"/>
      <c r="D32" s="2"/>
      <c r="E32" s="2"/>
      <c r="F32" s="4"/>
      <c r="G32" s="3"/>
      <c r="H32" s="13"/>
      <c r="I32" s="13"/>
      <c r="J32" s="13"/>
      <c r="K32" s="14"/>
      <c r="L32" s="6"/>
      <c r="M32" s="4"/>
      <c r="N32" s="4"/>
      <c r="O32" s="4"/>
      <c r="P32" s="4"/>
    </row>
    <row r="33" spans="1:16" x14ac:dyDescent="0.2">
      <c r="A33" s="1"/>
      <c r="B33" s="21"/>
      <c r="C33" s="19"/>
      <c r="D33" s="2"/>
      <c r="E33" s="2"/>
      <c r="F33" s="4"/>
      <c r="G33" s="3"/>
      <c r="H33" s="13"/>
      <c r="I33" s="13"/>
      <c r="J33" s="13"/>
      <c r="K33" s="14"/>
      <c r="L33" s="6"/>
      <c r="M33" s="4"/>
      <c r="N33" s="4"/>
      <c r="O33" s="4"/>
      <c r="P33" s="4"/>
    </row>
    <row r="34" spans="1:16" x14ac:dyDescent="0.2">
      <c r="A34" s="1"/>
      <c r="B34" s="21"/>
      <c r="C34" s="19"/>
      <c r="D34" s="2"/>
      <c r="E34" s="2"/>
      <c r="F34" s="4"/>
      <c r="G34" s="3"/>
      <c r="H34" s="13"/>
      <c r="I34" s="13"/>
      <c r="J34" s="13"/>
      <c r="K34" s="14"/>
      <c r="L34" s="6"/>
      <c r="M34" s="4"/>
      <c r="N34" s="4"/>
      <c r="O34" s="4"/>
      <c r="P34" s="4"/>
    </row>
    <row r="35" spans="1:16" x14ac:dyDescent="0.2">
      <c r="A35" s="1"/>
      <c r="B35" s="22"/>
      <c r="C35" s="19"/>
      <c r="D35" s="2"/>
      <c r="E35" s="2"/>
      <c r="F35" s="3"/>
      <c r="G35" s="3"/>
      <c r="H35" s="6"/>
      <c r="I35" s="6"/>
      <c r="J35" s="6"/>
      <c r="K35" s="6"/>
      <c r="L35" s="6"/>
      <c r="M35" s="4"/>
      <c r="N35" s="4"/>
      <c r="O35" s="4"/>
      <c r="P35" s="4"/>
    </row>
    <row r="36" spans="1:16" x14ac:dyDescent="0.2">
      <c r="A36" s="1"/>
      <c r="B36" s="23"/>
      <c r="D36" s="2"/>
      <c r="E36" s="2"/>
      <c r="F36" s="3"/>
      <c r="G36" s="3"/>
      <c r="H36" s="6"/>
      <c r="I36" s="6"/>
      <c r="J36" s="6"/>
      <c r="K36" s="6"/>
      <c r="L36" s="6"/>
      <c r="M36" s="4"/>
      <c r="N36" s="4"/>
      <c r="O36" s="4"/>
      <c r="P36" s="4"/>
    </row>
    <row r="37" spans="1:16" ht="17" thickBot="1" x14ac:dyDescent="0.25">
      <c r="A37" s="1"/>
      <c r="B37" s="24"/>
      <c r="C37" s="25"/>
      <c r="D37" s="26"/>
      <c r="E37" s="26"/>
      <c r="F37" s="27"/>
      <c r="G37" s="27"/>
      <c r="H37" s="28"/>
      <c r="I37" s="28"/>
      <c r="J37" s="28"/>
      <c r="K37" s="28"/>
      <c r="L37" s="28"/>
      <c r="M37" s="4"/>
      <c r="N37" s="4"/>
      <c r="O37" s="4"/>
      <c r="P37" s="4"/>
    </row>
    <row r="38" spans="1:16" x14ac:dyDescent="0.2">
      <c r="A38" s="1"/>
      <c r="B38" s="19"/>
      <c r="C38" s="19"/>
      <c r="D38" s="2"/>
      <c r="E38" s="2"/>
      <c r="F38" s="3"/>
      <c r="G38" s="3"/>
      <c r="H38" s="6"/>
      <c r="I38" s="6"/>
      <c r="J38" s="6"/>
      <c r="K38" s="6"/>
      <c r="L38" s="6"/>
      <c r="M38" s="4"/>
      <c r="N38" s="4"/>
      <c r="O38" s="4"/>
      <c r="P38" s="4"/>
    </row>
    <row r="39" spans="1:16" ht="17" thickBot="1" x14ac:dyDescent="0.25">
      <c r="A39" s="1"/>
      <c r="B39" s="29" t="s">
        <v>40</v>
      </c>
      <c r="C39" s="25"/>
      <c r="D39" s="26"/>
      <c r="E39" s="26"/>
      <c r="F39" s="27"/>
      <c r="G39" s="27"/>
      <c r="H39" s="30"/>
      <c r="I39" s="30"/>
      <c r="J39" s="30"/>
      <c r="K39" s="30"/>
      <c r="L39" s="30"/>
      <c r="M39" s="4"/>
      <c r="N39" s="4"/>
      <c r="O39" s="4"/>
      <c r="P39" s="4"/>
    </row>
    <row r="40" spans="1:16" x14ac:dyDescent="0.2">
      <c r="A40" s="1"/>
      <c r="B40" s="31" t="s">
        <v>41</v>
      </c>
      <c r="C40" s="32" t="s">
        <v>42</v>
      </c>
      <c r="D40" s="2"/>
      <c r="E40" s="2"/>
      <c r="F40" s="3">
        <v>0</v>
      </c>
      <c r="G40" s="3">
        <v>0.2</v>
      </c>
      <c r="H40" s="33">
        <f t="shared" ref="H40:H66" si="0">((D40*2+E40*2)*(F40+1))*(G40+1)</f>
        <v>0</v>
      </c>
      <c r="I40" s="33">
        <f t="shared" ref="I40:I66" si="1">((D40*3+E40*2)*(F40+1))*(G40+1)</f>
        <v>0</v>
      </c>
      <c r="J40" s="33">
        <f t="shared" ref="J40:J66" si="2">((D40*4+E40*2)*(F40+1))*(G40+1)</f>
        <v>0</v>
      </c>
      <c r="K40" s="33">
        <f t="shared" ref="K40:K66" si="3">((D40*5+E40*2)*(F40+1))*(G40+1)</f>
        <v>0</v>
      </c>
      <c r="L40" s="33">
        <f t="shared" ref="L40:L66" si="4">((D40*6+E40*2)*(F40+1))*(G40+1)</f>
        <v>0</v>
      </c>
      <c r="M40" s="4"/>
      <c r="N40" s="34">
        <f t="shared" ref="N40:N66" si="5">H40/75</f>
        <v>0</v>
      </c>
      <c r="O40" s="34">
        <f t="shared" ref="O40:O66" si="6">L40/155</f>
        <v>0</v>
      </c>
      <c r="P40" s="4"/>
    </row>
    <row r="41" spans="1:16" x14ac:dyDescent="0.2">
      <c r="A41" s="1"/>
      <c r="B41" s="31"/>
      <c r="C41" s="32" t="s">
        <v>43</v>
      </c>
      <c r="D41" s="2"/>
      <c r="E41" s="2"/>
      <c r="F41" s="3">
        <v>0</v>
      </c>
      <c r="G41" s="3">
        <v>0.2</v>
      </c>
      <c r="H41" s="35">
        <f t="shared" si="0"/>
        <v>0</v>
      </c>
      <c r="I41" s="35">
        <f t="shared" si="1"/>
        <v>0</v>
      </c>
      <c r="J41" s="35">
        <f t="shared" si="2"/>
        <v>0</v>
      </c>
      <c r="K41" s="35">
        <f t="shared" si="3"/>
        <v>0</v>
      </c>
      <c r="L41" s="35">
        <f t="shared" si="4"/>
        <v>0</v>
      </c>
      <c r="M41" s="4"/>
      <c r="N41" s="34">
        <f t="shared" si="5"/>
        <v>0</v>
      </c>
      <c r="O41" s="34">
        <f t="shared" si="6"/>
        <v>0</v>
      </c>
      <c r="P41" s="4"/>
    </row>
    <row r="42" spans="1:16" x14ac:dyDescent="0.2">
      <c r="A42" s="1"/>
      <c r="B42" s="32"/>
      <c r="C42" s="32" t="s">
        <v>44</v>
      </c>
      <c r="D42" s="2"/>
      <c r="E42" s="2"/>
      <c r="F42" s="3">
        <v>0</v>
      </c>
      <c r="G42" s="3">
        <v>0.2</v>
      </c>
      <c r="H42" s="35">
        <f t="shared" si="0"/>
        <v>0</v>
      </c>
      <c r="I42" s="35">
        <f t="shared" si="1"/>
        <v>0</v>
      </c>
      <c r="J42" s="35">
        <f t="shared" si="2"/>
        <v>0</v>
      </c>
      <c r="K42" s="35">
        <f t="shared" si="3"/>
        <v>0</v>
      </c>
      <c r="L42" s="35">
        <f t="shared" si="4"/>
        <v>0</v>
      </c>
      <c r="M42" s="4"/>
      <c r="N42" s="34">
        <f t="shared" si="5"/>
        <v>0</v>
      </c>
      <c r="O42" s="34">
        <f t="shared" si="6"/>
        <v>0</v>
      </c>
      <c r="P42" s="4"/>
    </row>
    <row r="43" spans="1:16" x14ac:dyDescent="0.2">
      <c r="A43" s="1"/>
      <c r="B43" s="32"/>
      <c r="C43" s="32" t="s">
        <v>45</v>
      </c>
      <c r="D43" s="34">
        <f>D4+B6+B13</f>
        <v>35266.491840000002</v>
      </c>
      <c r="E43" s="2">
        <f>E4+B7+B13</f>
        <v>48189.839140000004</v>
      </c>
      <c r="F43" s="3">
        <v>0</v>
      </c>
      <c r="G43" s="3">
        <v>0.2</v>
      </c>
      <c r="H43" s="35">
        <f t="shared" si="0"/>
        <v>200295.19435199999</v>
      </c>
      <c r="I43" s="35">
        <f t="shared" si="1"/>
        <v>242614.98456000001</v>
      </c>
      <c r="J43" s="35">
        <f t="shared" si="2"/>
        <v>284934.774768</v>
      </c>
      <c r="K43" s="35">
        <f t="shared" si="3"/>
        <v>327254.56497600005</v>
      </c>
      <c r="L43" s="35">
        <f t="shared" si="4"/>
        <v>369574.35518399999</v>
      </c>
      <c r="M43" s="4"/>
      <c r="N43" s="34">
        <f t="shared" si="5"/>
        <v>2670.6025913599997</v>
      </c>
      <c r="O43" s="34">
        <f t="shared" si="6"/>
        <v>2384.3506786064513</v>
      </c>
      <c r="P43" s="4"/>
    </row>
    <row r="44" spans="1:16" x14ac:dyDescent="0.2">
      <c r="A44" s="1"/>
      <c r="B44" s="32"/>
      <c r="C44" s="32" t="s">
        <v>46</v>
      </c>
      <c r="D44" s="2"/>
      <c r="E44" s="2"/>
      <c r="F44" s="3">
        <v>0</v>
      </c>
      <c r="G44" s="3">
        <v>0.2</v>
      </c>
      <c r="H44" s="35">
        <f t="shared" si="0"/>
        <v>0</v>
      </c>
      <c r="I44" s="35">
        <f t="shared" si="1"/>
        <v>0</v>
      </c>
      <c r="J44" s="35">
        <f t="shared" si="2"/>
        <v>0</v>
      </c>
      <c r="K44" s="35">
        <f t="shared" si="3"/>
        <v>0</v>
      </c>
      <c r="L44" s="35">
        <f t="shared" si="4"/>
        <v>0</v>
      </c>
      <c r="M44" s="4"/>
      <c r="N44" s="34">
        <f t="shared" si="5"/>
        <v>0</v>
      </c>
      <c r="O44" s="34">
        <f t="shared" si="6"/>
        <v>0</v>
      </c>
      <c r="P44" s="4"/>
    </row>
    <row r="45" spans="1:16" x14ac:dyDescent="0.2">
      <c r="A45" s="1"/>
      <c r="B45" s="32"/>
      <c r="C45" s="32" t="s">
        <v>47</v>
      </c>
      <c r="D45" s="2"/>
      <c r="E45" s="2"/>
      <c r="F45" s="3">
        <v>0</v>
      </c>
      <c r="G45" s="3">
        <v>0.2</v>
      </c>
      <c r="H45" s="35">
        <f t="shared" si="0"/>
        <v>0</v>
      </c>
      <c r="I45" s="35">
        <f t="shared" si="1"/>
        <v>0</v>
      </c>
      <c r="J45" s="35">
        <f t="shared" si="2"/>
        <v>0</v>
      </c>
      <c r="K45" s="35">
        <f t="shared" si="3"/>
        <v>0</v>
      </c>
      <c r="L45" s="35">
        <f t="shared" si="4"/>
        <v>0</v>
      </c>
      <c r="M45" s="4"/>
      <c r="N45" s="34">
        <f t="shared" si="5"/>
        <v>0</v>
      </c>
      <c r="O45" s="34">
        <f t="shared" si="6"/>
        <v>0</v>
      </c>
      <c r="P45" s="4"/>
    </row>
    <row r="46" spans="1:16" x14ac:dyDescent="0.2">
      <c r="A46" s="1"/>
      <c r="B46" s="32"/>
      <c r="C46" s="32" t="s">
        <v>48</v>
      </c>
      <c r="D46" s="2"/>
      <c r="E46" s="2"/>
      <c r="F46" s="3">
        <v>0</v>
      </c>
      <c r="G46" s="3">
        <v>0.2</v>
      </c>
      <c r="H46" s="35">
        <f t="shared" si="0"/>
        <v>0</v>
      </c>
      <c r="I46" s="35">
        <f t="shared" si="1"/>
        <v>0</v>
      </c>
      <c r="J46" s="35">
        <f t="shared" si="2"/>
        <v>0</v>
      </c>
      <c r="K46" s="35">
        <f t="shared" si="3"/>
        <v>0</v>
      </c>
      <c r="L46" s="35">
        <f t="shared" si="4"/>
        <v>0</v>
      </c>
      <c r="M46" s="4"/>
      <c r="N46" s="34">
        <f t="shared" si="5"/>
        <v>0</v>
      </c>
      <c r="O46" s="34">
        <f t="shared" si="6"/>
        <v>0</v>
      </c>
      <c r="P46" s="4"/>
    </row>
    <row r="47" spans="1:16" x14ac:dyDescent="0.2">
      <c r="A47" s="1"/>
      <c r="B47" s="32"/>
      <c r="C47" s="32" t="s">
        <v>49</v>
      </c>
      <c r="D47" s="2"/>
      <c r="E47" s="2"/>
      <c r="F47" s="3">
        <v>0</v>
      </c>
      <c r="G47" s="3">
        <v>0.2</v>
      </c>
      <c r="H47" s="35">
        <f t="shared" si="0"/>
        <v>0</v>
      </c>
      <c r="I47" s="35">
        <f t="shared" si="1"/>
        <v>0</v>
      </c>
      <c r="J47" s="35">
        <f t="shared" si="2"/>
        <v>0</v>
      </c>
      <c r="K47" s="35">
        <f t="shared" si="3"/>
        <v>0</v>
      </c>
      <c r="L47" s="35">
        <f t="shared" si="4"/>
        <v>0</v>
      </c>
      <c r="M47" s="4"/>
      <c r="N47" s="34">
        <f t="shared" si="5"/>
        <v>0</v>
      </c>
      <c r="O47" s="34">
        <f t="shared" si="6"/>
        <v>0</v>
      </c>
      <c r="P47" s="4"/>
    </row>
    <row r="48" spans="1:16" ht="17" thickBot="1" x14ac:dyDescent="0.25">
      <c r="A48" s="1"/>
      <c r="B48" s="36"/>
      <c r="C48" s="36" t="s">
        <v>50</v>
      </c>
      <c r="D48" s="26"/>
      <c r="E48" s="26"/>
      <c r="F48" s="37">
        <v>0</v>
      </c>
      <c r="G48" s="27">
        <v>0.2</v>
      </c>
      <c r="H48" s="38">
        <f t="shared" si="0"/>
        <v>0</v>
      </c>
      <c r="I48" s="38">
        <f t="shared" si="1"/>
        <v>0</v>
      </c>
      <c r="J48" s="38">
        <f t="shared" si="2"/>
        <v>0</v>
      </c>
      <c r="K48" s="38">
        <f t="shared" si="3"/>
        <v>0</v>
      </c>
      <c r="L48" s="38">
        <f t="shared" si="4"/>
        <v>0</v>
      </c>
      <c r="M48" s="4"/>
      <c r="N48" s="34">
        <f t="shared" si="5"/>
        <v>0</v>
      </c>
      <c r="O48" s="34">
        <f t="shared" si="6"/>
        <v>0</v>
      </c>
      <c r="P48" s="4"/>
    </row>
    <row r="49" spans="1:16" x14ac:dyDescent="0.2">
      <c r="A49" s="1"/>
      <c r="B49" s="32" t="s">
        <v>51</v>
      </c>
      <c r="C49" s="32" t="s">
        <v>52</v>
      </c>
      <c r="D49" s="2"/>
      <c r="E49" s="2"/>
      <c r="F49" s="3">
        <v>0</v>
      </c>
      <c r="G49" s="3">
        <v>0.2</v>
      </c>
      <c r="H49" s="33">
        <f t="shared" si="0"/>
        <v>0</v>
      </c>
      <c r="I49" s="33">
        <f t="shared" si="1"/>
        <v>0</v>
      </c>
      <c r="J49" s="33">
        <f t="shared" si="2"/>
        <v>0</v>
      </c>
      <c r="K49" s="33">
        <f t="shared" si="3"/>
        <v>0</v>
      </c>
      <c r="L49" s="33">
        <f t="shared" si="4"/>
        <v>0</v>
      </c>
      <c r="M49" s="4"/>
      <c r="N49" s="34">
        <f t="shared" si="5"/>
        <v>0</v>
      </c>
      <c r="O49" s="34">
        <f t="shared" si="6"/>
        <v>0</v>
      </c>
      <c r="P49" s="4"/>
    </row>
    <row r="50" spans="1:16" x14ac:dyDescent="0.2">
      <c r="A50" s="1"/>
      <c r="B50" s="32"/>
      <c r="C50" s="32" t="s">
        <v>53</v>
      </c>
      <c r="D50" s="2"/>
      <c r="E50" s="2"/>
      <c r="F50" s="3">
        <v>0</v>
      </c>
      <c r="G50" s="3">
        <v>0.2</v>
      </c>
      <c r="H50" s="35">
        <f t="shared" si="0"/>
        <v>0</v>
      </c>
      <c r="I50" s="35">
        <f t="shared" si="1"/>
        <v>0</v>
      </c>
      <c r="J50" s="35">
        <f t="shared" si="2"/>
        <v>0</v>
      </c>
      <c r="K50" s="35">
        <f t="shared" si="3"/>
        <v>0</v>
      </c>
      <c r="L50" s="35">
        <f t="shared" si="4"/>
        <v>0</v>
      </c>
      <c r="M50" s="4"/>
      <c r="N50" s="34">
        <f t="shared" si="5"/>
        <v>0</v>
      </c>
      <c r="O50" s="34">
        <f t="shared" si="6"/>
        <v>0</v>
      </c>
      <c r="P50" s="4"/>
    </row>
    <row r="51" spans="1:16" x14ac:dyDescent="0.2">
      <c r="A51" s="1"/>
      <c r="B51" s="32"/>
      <c r="C51" s="32" t="s">
        <v>54</v>
      </c>
      <c r="D51" s="2"/>
      <c r="E51" s="2"/>
      <c r="F51" s="3">
        <v>0</v>
      </c>
      <c r="G51" s="3">
        <v>0.2</v>
      </c>
      <c r="H51" s="35">
        <f t="shared" si="0"/>
        <v>0</v>
      </c>
      <c r="I51" s="35">
        <f t="shared" si="1"/>
        <v>0</v>
      </c>
      <c r="J51" s="35">
        <f t="shared" si="2"/>
        <v>0</v>
      </c>
      <c r="K51" s="35">
        <f t="shared" si="3"/>
        <v>0</v>
      </c>
      <c r="L51" s="35">
        <f t="shared" si="4"/>
        <v>0</v>
      </c>
      <c r="M51" s="4"/>
      <c r="N51" s="34">
        <f t="shared" si="5"/>
        <v>0</v>
      </c>
      <c r="O51" s="34">
        <f t="shared" si="6"/>
        <v>0</v>
      </c>
      <c r="P51" s="4"/>
    </row>
    <row r="52" spans="1:16" x14ac:dyDescent="0.2">
      <c r="A52" s="1"/>
      <c r="B52" s="32"/>
      <c r="C52" s="32" t="s">
        <v>55</v>
      </c>
      <c r="D52" s="2">
        <f>D4+B20+B6+B13</f>
        <v>41793.573840000005</v>
      </c>
      <c r="E52" s="2">
        <f>E4+B7+B21+B13</f>
        <v>60587.361140000008</v>
      </c>
      <c r="F52" s="3">
        <v>0</v>
      </c>
      <c r="G52" s="3">
        <v>0.2</v>
      </c>
      <c r="H52" s="35">
        <f t="shared" si="0"/>
        <v>245714.24395200005</v>
      </c>
      <c r="I52" s="35">
        <f t="shared" si="1"/>
        <v>295866.53256000002</v>
      </c>
      <c r="J52" s="35">
        <f t="shared" si="2"/>
        <v>346018.82116800005</v>
      </c>
      <c r="K52" s="35">
        <f t="shared" si="3"/>
        <v>396171.10977600008</v>
      </c>
      <c r="L52" s="35">
        <f t="shared" si="4"/>
        <v>446323.398384</v>
      </c>
      <c r="M52" s="4"/>
      <c r="N52" s="34">
        <f t="shared" si="5"/>
        <v>3276.1899193600007</v>
      </c>
      <c r="O52" s="34">
        <f t="shared" si="6"/>
        <v>2879.5057960258064</v>
      </c>
      <c r="P52" s="4"/>
    </row>
    <row r="53" spans="1:16" x14ac:dyDescent="0.2">
      <c r="A53" s="1"/>
      <c r="B53" s="32"/>
      <c r="C53" s="32" t="s">
        <v>56</v>
      </c>
      <c r="D53" s="2"/>
      <c r="E53" s="2"/>
      <c r="F53" s="3">
        <v>0</v>
      </c>
      <c r="G53" s="3">
        <v>0.2</v>
      </c>
      <c r="H53" s="35">
        <f t="shared" si="0"/>
        <v>0</v>
      </c>
      <c r="I53" s="35">
        <f t="shared" si="1"/>
        <v>0</v>
      </c>
      <c r="J53" s="35">
        <f t="shared" si="2"/>
        <v>0</v>
      </c>
      <c r="K53" s="35">
        <f t="shared" si="3"/>
        <v>0</v>
      </c>
      <c r="L53" s="35">
        <f t="shared" si="4"/>
        <v>0</v>
      </c>
      <c r="M53" s="4"/>
      <c r="N53" s="34">
        <f t="shared" si="5"/>
        <v>0</v>
      </c>
      <c r="O53" s="34">
        <f t="shared" si="6"/>
        <v>0</v>
      </c>
      <c r="P53" s="4"/>
    </row>
    <row r="54" spans="1:16" x14ac:dyDescent="0.2">
      <c r="A54" s="1"/>
      <c r="B54" s="32"/>
      <c r="C54" s="32" t="s">
        <v>57</v>
      </c>
      <c r="D54" s="2"/>
      <c r="E54" s="2"/>
      <c r="F54" s="3">
        <v>0</v>
      </c>
      <c r="G54" s="3">
        <v>0.2</v>
      </c>
      <c r="H54" s="35">
        <f t="shared" si="0"/>
        <v>0</v>
      </c>
      <c r="I54" s="35">
        <f t="shared" si="1"/>
        <v>0</v>
      </c>
      <c r="J54" s="35">
        <f t="shared" si="2"/>
        <v>0</v>
      </c>
      <c r="K54" s="35">
        <f t="shared" si="3"/>
        <v>0</v>
      </c>
      <c r="L54" s="35">
        <f t="shared" si="4"/>
        <v>0</v>
      </c>
      <c r="M54" s="4"/>
      <c r="N54" s="34">
        <f t="shared" si="5"/>
        <v>0</v>
      </c>
      <c r="O54" s="34">
        <f t="shared" si="6"/>
        <v>0</v>
      </c>
      <c r="P54" s="4"/>
    </row>
    <row r="55" spans="1:16" x14ac:dyDescent="0.2">
      <c r="A55" s="1"/>
      <c r="B55" s="32"/>
      <c r="C55" s="32" t="s">
        <v>58</v>
      </c>
      <c r="D55" s="2"/>
      <c r="E55" s="2"/>
      <c r="F55" s="3">
        <v>0</v>
      </c>
      <c r="G55" s="3">
        <v>0.2</v>
      </c>
      <c r="H55" s="35">
        <f t="shared" si="0"/>
        <v>0</v>
      </c>
      <c r="I55" s="35">
        <f t="shared" si="1"/>
        <v>0</v>
      </c>
      <c r="J55" s="35">
        <f t="shared" si="2"/>
        <v>0</v>
      </c>
      <c r="K55" s="35">
        <f t="shared" si="3"/>
        <v>0</v>
      </c>
      <c r="L55" s="35">
        <f t="shared" si="4"/>
        <v>0</v>
      </c>
      <c r="M55" s="4"/>
      <c r="N55" s="34">
        <f t="shared" si="5"/>
        <v>0</v>
      </c>
      <c r="O55" s="34">
        <f t="shared" si="6"/>
        <v>0</v>
      </c>
      <c r="P55" s="4"/>
    </row>
    <row r="56" spans="1:16" x14ac:dyDescent="0.2">
      <c r="A56" s="1"/>
      <c r="B56" s="32"/>
      <c r="C56" s="32" t="s">
        <v>59</v>
      </c>
      <c r="D56" s="2"/>
      <c r="E56" s="2"/>
      <c r="F56" s="3">
        <v>0</v>
      </c>
      <c r="G56" s="3">
        <v>0.2</v>
      </c>
      <c r="H56" s="35">
        <f t="shared" si="0"/>
        <v>0</v>
      </c>
      <c r="I56" s="35">
        <f t="shared" si="1"/>
        <v>0</v>
      </c>
      <c r="J56" s="35">
        <f t="shared" si="2"/>
        <v>0</v>
      </c>
      <c r="K56" s="35">
        <f t="shared" si="3"/>
        <v>0</v>
      </c>
      <c r="L56" s="35">
        <f t="shared" si="4"/>
        <v>0</v>
      </c>
      <c r="M56" s="4"/>
      <c r="N56" s="34">
        <f t="shared" si="5"/>
        <v>0</v>
      </c>
      <c r="O56" s="34">
        <f t="shared" si="6"/>
        <v>0</v>
      </c>
      <c r="P56" s="4"/>
    </row>
    <row r="57" spans="1:16" ht="17" thickBot="1" x14ac:dyDescent="0.25">
      <c r="A57" s="1"/>
      <c r="B57" s="25"/>
      <c r="C57" s="36" t="s">
        <v>60</v>
      </c>
      <c r="D57" s="26"/>
      <c r="E57" s="26"/>
      <c r="F57" s="37">
        <v>0</v>
      </c>
      <c r="G57" s="27">
        <v>0.2</v>
      </c>
      <c r="H57" s="38">
        <f t="shared" si="0"/>
        <v>0</v>
      </c>
      <c r="I57" s="38">
        <f t="shared" si="1"/>
        <v>0</v>
      </c>
      <c r="J57" s="38">
        <f t="shared" si="2"/>
        <v>0</v>
      </c>
      <c r="K57" s="38">
        <f t="shared" si="3"/>
        <v>0</v>
      </c>
      <c r="L57" s="38">
        <f t="shared" si="4"/>
        <v>0</v>
      </c>
      <c r="M57" s="4"/>
      <c r="N57" s="34">
        <f t="shared" si="5"/>
        <v>0</v>
      </c>
      <c r="O57" s="34">
        <f t="shared" si="6"/>
        <v>0</v>
      </c>
      <c r="P57" s="4"/>
    </row>
    <row r="58" spans="1:16" x14ac:dyDescent="0.2">
      <c r="A58" s="1"/>
      <c r="B58" s="32" t="s">
        <v>61</v>
      </c>
      <c r="C58" s="32" t="s">
        <v>62</v>
      </c>
      <c r="D58" s="2"/>
      <c r="E58" s="2"/>
      <c r="F58" s="3">
        <v>0</v>
      </c>
      <c r="G58" s="3">
        <v>0.2</v>
      </c>
      <c r="H58" s="33">
        <f t="shared" si="0"/>
        <v>0</v>
      </c>
      <c r="I58" s="33">
        <f t="shared" si="1"/>
        <v>0</v>
      </c>
      <c r="J58" s="33">
        <f t="shared" si="2"/>
        <v>0</v>
      </c>
      <c r="K58" s="33">
        <f t="shared" si="3"/>
        <v>0</v>
      </c>
      <c r="L58" s="33">
        <f t="shared" si="4"/>
        <v>0</v>
      </c>
      <c r="M58" s="4"/>
      <c r="N58" s="34">
        <f t="shared" si="5"/>
        <v>0</v>
      </c>
      <c r="O58" s="34">
        <f t="shared" si="6"/>
        <v>0</v>
      </c>
      <c r="P58" s="4"/>
    </row>
    <row r="59" spans="1:16" x14ac:dyDescent="0.2">
      <c r="A59" s="1"/>
      <c r="C59" s="32" t="s">
        <v>63</v>
      </c>
      <c r="D59" s="2"/>
      <c r="E59" s="2"/>
      <c r="F59" s="3">
        <v>0</v>
      </c>
      <c r="G59" s="3">
        <v>0.2</v>
      </c>
      <c r="H59" s="35">
        <f t="shared" si="0"/>
        <v>0</v>
      </c>
      <c r="I59" s="35">
        <f t="shared" si="1"/>
        <v>0</v>
      </c>
      <c r="J59" s="35">
        <f t="shared" si="2"/>
        <v>0</v>
      </c>
      <c r="K59" s="35">
        <f t="shared" si="3"/>
        <v>0</v>
      </c>
      <c r="L59" s="35">
        <f t="shared" si="4"/>
        <v>0</v>
      </c>
      <c r="M59" s="4"/>
      <c r="N59" s="34">
        <f t="shared" si="5"/>
        <v>0</v>
      </c>
      <c r="O59" s="34">
        <f t="shared" si="6"/>
        <v>0</v>
      </c>
      <c r="P59" s="4"/>
    </row>
    <row r="60" spans="1:16" x14ac:dyDescent="0.2">
      <c r="A60" s="1"/>
      <c r="B60" s="32"/>
      <c r="C60" s="32" t="s">
        <v>64</v>
      </c>
      <c r="D60" s="2"/>
      <c r="E60" s="2"/>
      <c r="F60" s="3">
        <v>0</v>
      </c>
      <c r="G60" s="3">
        <v>0.2</v>
      </c>
      <c r="H60" s="35">
        <f t="shared" si="0"/>
        <v>0</v>
      </c>
      <c r="I60" s="35">
        <f t="shared" si="1"/>
        <v>0</v>
      </c>
      <c r="J60" s="35">
        <f t="shared" si="2"/>
        <v>0</v>
      </c>
      <c r="K60" s="35">
        <f t="shared" si="3"/>
        <v>0</v>
      </c>
      <c r="L60" s="35">
        <f t="shared" si="4"/>
        <v>0</v>
      </c>
      <c r="M60" s="4"/>
      <c r="N60" s="34">
        <f t="shared" si="5"/>
        <v>0</v>
      </c>
      <c r="O60" s="34">
        <f t="shared" si="6"/>
        <v>0</v>
      </c>
      <c r="P60" s="4"/>
    </row>
    <row r="61" spans="1:16" x14ac:dyDescent="0.2">
      <c r="A61" s="1"/>
      <c r="B61" s="19"/>
      <c r="C61" s="32" t="s">
        <v>65</v>
      </c>
      <c r="D61" s="2">
        <f>D4+B6+B13+B22</f>
        <v>44894.477040000005</v>
      </c>
      <c r="E61" s="2">
        <f>E4+B7+B13+B23</f>
        <v>66477.208340000012</v>
      </c>
      <c r="F61" s="3">
        <v>0</v>
      </c>
      <c r="G61" s="3">
        <v>0.2</v>
      </c>
      <c r="H61" s="35">
        <f t="shared" si="0"/>
        <v>267292.04491200001</v>
      </c>
      <c r="I61" s="35">
        <f t="shared" si="1"/>
        <v>321165.41736000002</v>
      </c>
      <c r="J61" s="35">
        <f t="shared" si="2"/>
        <v>375038.78980800003</v>
      </c>
      <c r="K61" s="35">
        <f t="shared" si="3"/>
        <v>428912.16225600004</v>
      </c>
      <c r="L61" s="35">
        <f t="shared" si="4"/>
        <v>482785.53470400005</v>
      </c>
      <c r="M61" s="4"/>
      <c r="N61" s="34">
        <f t="shared" si="5"/>
        <v>3563.8939321600001</v>
      </c>
      <c r="O61" s="34">
        <f t="shared" si="6"/>
        <v>3114.7453851870969</v>
      </c>
      <c r="P61" s="4"/>
    </row>
    <row r="62" spans="1:16" x14ac:dyDescent="0.2">
      <c r="A62" s="1"/>
      <c r="B62" s="19"/>
      <c r="C62" s="32" t="s">
        <v>66</v>
      </c>
      <c r="D62" s="2"/>
      <c r="E62" s="2"/>
      <c r="F62" s="3">
        <v>0</v>
      </c>
      <c r="G62" s="3">
        <v>0.2</v>
      </c>
      <c r="H62" s="35">
        <f t="shared" si="0"/>
        <v>0</v>
      </c>
      <c r="I62" s="35">
        <f t="shared" si="1"/>
        <v>0</v>
      </c>
      <c r="J62" s="35">
        <f t="shared" si="2"/>
        <v>0</v>
      </c>
      <c r="K62" s="35">
        <f t="shared" si="3"/>
        <v>0</v>
      </c>
      <c r="L62" s="35">
        <f t="shared" si="4"/>
        <v>0</v>
      </c>
      <c r="M62" s="4"/>
      <c r="N62" s="34">
        <f t="shared" si="5"/>
        <v>0</v>
      </c>
      <c r="O62" s="34">
        <f t="shared" si="6"/>
        <v>0</v>
      </c>
      <c r="P62" s="4"/>
    </row>
    <row r="63" spans="1:16" x14ac:dyDescent="0.2">
      <c r="A63" s="1"/>
      <c r="B63" s="19"/>
      <c r="C63" s="32" t="s">
        <v>67</v>
      </c>
      <c r="D63" s="2"/>
      <c r="E63" s="2"/>
      <c r="F63" s="3">
        <v>0</v>
      </c>
      <c r="G63" s="3">
        <v>0.2</v>
      </c>
      <c r="H63" s="35">
        <f t="shared" si="0"/>
        <v>0</v>
      </c>
      <c r="I63" s="35">
        <f t="shared" si="1"/>
        <v>0</v>
      </c>
      <c r="J63" s="35">
        <f t="shared" si="2"/>
        <v>0</v>
      </c>
      <c r="K63" s="35">
        <f t="shared" si="3"/>
        <v>0</v>
      </c>
      <c r="L63" s="35">
        <f t="shared" si="4"/>
        <v>0</v>
      </c>
      <c r="M63" s="4"/>
      <c r="N63" s="34">
        <f t="shared" si="5"/>
        <v>0</v>
      </c>
      <c r="O63" s="34">
        <f t="shared" si="6"/>
        <v>0</v>
      </c>
      <c r="P63" s="4"/>
    </row>
    <row r="64" spans="1:16" x14ac:dyDescent="0.2">
      <c r="A64" s="1"/>
      <c r="B64" s="19"/>
      <c r="C64" s="32" t="s">
        <v>68</v>
      </c>
      <c r="D64" s="2"/>
      <c r="E64" s="2"/>
      <c r="F64" s="3">
        <v>0</v>
      </c>
      <c r="G64" s="3">
        <v>0.2</v>
      </c>
      <c r="H64" s="35">
        <f t="shared" si="0"/>
        <v>0</v>
      </c>
      <c r="I64" s="35">
        <f t="shared" si="1"/>
        <v>0</v>
      </c>
      <c r="J64" s="35">
        <f t="shared" si="2"/>
        <v>0</v>
      </c>
      <c r="K64" s="35">
        <f t="shared" si="3"/>
        <v>0</v>
      </c>
      <c r="L64" s="35">
        <f t="shared" si="4"/>
        <v>0</v>
      </c>
      <c r="M64" s="4"/>
      <c r="N64" s="34">
        <f t="shared" si="5"/>
        <v>0</v>
      </c>
      <c r="O64" s="34">
        <f t="shared" si="6"/>
        <v>0</v>
      </c>
      <c r="P64" s="4"/>
    </row>
    <row r="65" spans="1:16" x14ac:dyDescent="0.2">
      <c r="A65" s="1"/>
      <c r="B65" s="19"/>
      <c r="C65" s="32" t="s">
        <v>69</v>
      </c>
      <c r="D65" s="2"/>
      <c r="E65" s="2"/>
      <c r="F65" s="3">
        <v>0</v>
      </c>
      <c r="G65" s="3">
        <v>0.2</v>
      </c>
      <c r="H65" s="35">
        <f t="shared" si="0"/>
        <v>0</v>
      </c>
      <c r="I65" s="35">
        <f t="shared" si="1"/>
        <v>0</v>
      </c>
      <c r="J65" s="35">
        <f t="shared" si="2"/>
        <v>0</v>
      </c>
      <c r="K65" s="35">
        <f t="shared" si="3"/>
        <v>0</v>
      </c>
      <c r="L65" s="35">
        <f t="shared" si="4"/>
        <v>0</v>
      </c>
      <c r="M65" s="4"/>
      <c r="N65" s="34">
        <f t="shared" si="5"/>
        <v>0</v>
      </c>
      <c r="O65" s="34">
        <f t="shared" si="6"/>
        <v>0</v>
      </c>
      <c r="P65" s="4"/>
    </row>
    <row r="66" spans="1:16" ht="17" thickBot="1" x14ac:dyDescent="0.25">
      <c r="A66" s="1"/>
      <c r="B66" s="25"/>
      <c r="C66" s="36" t="s">
        <v>70</v>
      </c>
      <c r="D66" s="26"/>
      <c r="E66" s="26"/>
      <c r="F66" s="37">
        <v>0</v>
      </c>
      <c r="G66" s="27">
        <v>0.2</v>
      </c>
      <c r="H66" s="38">
        <f t="shared" si="0"/>
        <v>0</v>
      </c>
      <c r="I66" s="38">
        <f t="shared" si="1"/>
        <v>0</v>
      </c>
      <c r="J66" s="38">
        <f t="shared" si="2"/>
        <v>0</v>
      </c>
      <c r="K66" s="38">
        <f t="shared" si="3"/>
        <v>0</v>
      </c>
      <c r="L66" s="38">
        <f t="shared" si="4"/>
        <v>0</v>
      </c>
      <c r="M66" s="4"/>
      <c r="N66" s="34">
        <f t="shared" si="5"/>
        <v>0</v>
      </c>
      <c r="O66" s="34">
        <f t="shared" si="6"/>
        <v>0</v>
      </c>
      <c r="P66" s="4"/>
    </row>
    <row r="67" spans="1:16" x14ac:dyDescent="0.2">
      <c r="A67" s="1"/>
      <c r="D67" s="2"/>
      <c r="E67" s="2"/>
      <c r="F67" s="3"/>
      <c r="G67" s="3"/>
      <c r="H67" s="4"/>
      <c r="I67" s="4"/>
      <c r="J67" s="4"/>
      <c r="K67" s="4"/>
      <c r="L67" s="4"/>
      <c r="M67" s="4"/>
      <c r="N67" s="4"/>
      <c r="O67" s="4"/>
      <c r="P67" s="4"/>
    </row>
    <row r="68" spans="1:16" x14ac:dyDescent="0.2">
      <c r="A68" s="1"/>
      <c r="D68" s="2"/>
      <c r="E68" s="2"/>
      <c r="F68" s="3"/>
      <c r="G68" s="3"/>
      <c r="H68" s="4"/>
      <c r="I68" s="4"/>
      <c r="J68" s="4"/>
      <c r="K68" s="4"/>
      <c r="L68" s="4"/>
      <c r="M68" s="4"/>
      <c r="N68" s="4"/>
      <c r="O68" s="4"/>
      <c r="P6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Schmoltner, Markus Helmut</dc:creator>
  <cp:lastModifiedBy>Schmoltner, Markus Helmut</cp:lastModifiedBy>
  <dcterms:created xsi:type="dcterms:W3CDTF">2025-11-04T11:42:03Z</dcterms:created>
  <dcterms:modified xsi:type="dcterms:W3CDTF">2025-11-04T11:50:04Z</dcterms:modified>
</cp:coreProperties>
</file>